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14d6c3c4a7365e0/Documents/"/>
    </mc:Choice>
  </mc:AlternateContent>
  <xr:revisionPtr revIDLastSave="1" documentId="11_292BD801EA6C49DB91366866238B41604AB4BE5F" xr6:coauthVersionLast="47" xr6:coauthVersionMax="47" xr10:uidLastSave="{32E80B3B-C478-4BA5-A807-27C8F2A1F048}"/>
  <bookViews>
    <workbookView xWindow="-120" yWindow="-120" windowWidth="20730" windowHeight="11040" xr2:uid="{00000000-000D-0000-FFFF-FFFF00000000}"/>
  </bookViews>
  <sheets>
    <sheet name="Raw_Data" sheetId="1" r:id="rId1"/>
    <sheet name="Cleaned_Data" sheetId="2" r:id="rId2"/>
    <sheet name="Analysis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3" l="1"/>
  <c r="B9" i="3"/>
  <c r="B8" i="3"/>
  <c r="B7" i="3"/>
  <c r="B3" i="3"/>
  <c r="B2" i="3"/>
  <c r="B1" i="3"/>
</calcChain>
</file>

<file path=xl/sharedStrings.xml><?xml version="1.0" encoding="utf-8"?>
<sst xmlns="http://schemas.openxmlformats.org/spreadsheetml/2006/main" count="1222" uniqueCount="178">
  <si>
    <t>Date</t>
  </si>
  <si>
    <t>Product</t>
  </si>
  <si>
    <t>Region</t>
  </si>
  <si>
    <t>Quantity</t>
  </si>
  <si>
    <t>Unit Price</t>
  </si>
  <si>
    <t>Total Sales</t>
  </si>
  <si>
    <t>2024-10-27</t>
  </si>
  <si>
    <t>Phone</t>
  </si>
  <si>
    <t>Tamale</t>
  </si>
  <si>
    <t>2024-12-20</t>
  </si>
  <si>
    <t>Laptop</t>
  </si>
  <si>
    <t>Takoradi</t>
  </si>
  <si>
    <t>2024-11-07</t>
  </si>
  <si>
    <t>Tablet</t>
  </si>
  <si>
    <t>2024-02-23</t>
  </si>
  <si>
    <t>Kumasi</t>
  </si>
  <si>
    <t>2024-02-06</t>
  </si>
  <si>
    <t>Headphones</t>
  </si>
  <si>
    <t>2024-10-09</t>
  </si>
  <si>
    <t>Monitor</t>
  </si>
  <si>
    <t>2024-08-09</t>
  </si>
  <si>
    <t>2024-08-19</t>
  </si>
  <si>
    <t>2024-06-22</t>
  </si>
  <si>
    <t>2024-11-24</t>
  </si>
  <si>
    <t>2024-07-22</t>
  </si>
  <si>
    <t>2024-05-10</t>
  </si>
  <si>
    <t>2024-03-31</t>
  </si>
  <si>
    <t>Accra</t>
  </si>
  <si>
    <t>2024-12-09</t>
  </si>
  <si>
    <t>2024-09-05</t>
  </si>
  <si>
    <t>2024-03-07</t>
  </si>
  <si>
    <t>2024-02-14</t>
  </si>
  <si>
    <t>2024-01-07</t>
  </si>
  <si>
    <t>2024-12-11</t>
  </si>
  <si>
    <t>2024-09-11</t>
  </si>
  <si>
    <t>2024-08-23</t>
  </si>
  <si>
    <t>2024-02-20</t>
  </si>
  <si>
    <t>2024-08-01</t>
  </si>
  <si>
    <t>2024-04-17</t>
  </si>
  <si>
    <t>2024-01-28</t>
  </si>
  <si>
    <t>2024-01-05</t>
  </si>
  <si>
    <t>2024-12-18</t>
  </si>
  <si>
    <t>2024-04-25</t>
  </si>
  <si>
    <t>2024-09-10</t>
  </si>
  <si>
    <t>2024-07-30</t>
  </si>
  <si>
    <t>2024-06-05</t>
  </si>
  <si>
    <t>2024-08-16</t>
  </si>
  <si>
    <t>2024-03-24</t>
  </si>
  <si>
    <t>2024-09-23</t>
  </si>
  <si>
    <t>2024-10-05</t>
  </si>
  <si>
    <t>2024-03-04</t>
  </si>
  <si>
    <t>2024-05-29</t>
  </si>
  <si>
    <t>2024-04-09</t>
  </si>
  <si>
    <t>2024-04-06</t>
  </si>
  <si>
    <t>2024-04-24</t>
  </si>
  <si>
    <t>2024-03-26</t>
  </si>
  <si>
    <t>2024-02-08</t>
  </si>
  <si>
    <t>2024-10-18</t>
  </si>
  <si>
    <t>2024-07-10</t>
  </si>
  <si>
    <t>2024-05-07</t>
  </si>
  <si>
    <t>2024-03-11</t>
  </si>
  <si>
    <t>2024-07-09</t>
  </si>
  <si>
    <t>2024-07-08</t>
  </si>
  <si>
    <t>2024-01-29</t>
  </si>
  <si>
    <t>2024-08-27</t>
  </si>
  <si>
    <t>2024-05-17</t>
  </si>
  <si>
    <t>2024-11-16</t>
  </si>
  <si>
    <t>2024-08-14</t>
  </si>
  <si>
    <t>2024-12-19</t>
  </si>
  <si>
    <t>2024-08-13</t>
  </si>
  <si>
    <t>2024-07-14</t>
  </si>
  <si>
    <t>2024-07-19</t>
  </si>
  <si>
    <t>2024-09-12</t>
  </si>
  <si>
    <t>2024-05-03</t>
  </si>
  <si>
    <t>2024-07-29</t>
  </si>
  <si>
    <t>2024-02-18</t>
  </si>
  <si>
    <t>2024-12-04</t>
  </si>
  <si>
    <t>2024-08-18</t>
  </si>
  <si>
    <t>2024-09-08</t>
  </si>
  <si>
    <t>2024-11-22</t>
  </si>
  <si>
    <t>2024-04-16</t>
  </si>
  <si>
    <t>2024-04-18</t>
  </si>
  <si>
    <t>2024-01-10</t>
  </si>
  <si>
    <t>2024-03-17</t>
  </si>
  <si>
    <t>2024-02-02</t>
  </si>
  <si>
    <t>2024-02-17</t>
  </si>
  <si>
    <t>2024-10-10</t>
  </si>
  <si>
    <t>2024-12-03</t>
  </si>
  <si>
    <t>2024-12-07</t>
  </si>
  <si>
    <t>2024-06-30</t>
  </si>
  <si>
    <t>2024-08-30</t>
  </si>
  <si>
    <t>2024-06-10</t>
  </si>
  <si>
    <t>2024-05-14</t>
  </si>
  <si>
    <t>2024-06-26</t>
  </si>
  <si>
    <t>2024-03-02</t>
  </si>
  <si>
    <t>2024-10-25</t>
  </si>
  <si>
    <t>2024-05-20</t>
  </si>
  <si>
    <t>2024-09-02</t>
  </si>
  <si>
    <t>2024-02-15</t>
  </si>
  <si>
    <t>2024-06-03</t>
  </si>
  <si>
    <t>2024-11-05</t>
  </si>
  <si>
    <t>2024-04-08</t>
  </si>
  <si>
    <t>2024-03-18</t>
  </si>
  <si>
    <t>2024-02-24</t>
  </si>
  <si>
    <t>2024-07-21</t>
  </si>
  <si>
    <t>2024-01-20</t>
  </si>
  <si>
    <t>2024-10-31</t>
  </si>
  <si>
    <t>2024-10-28</t>
  </si>
  <si>
    <t>2024-05-21</t>
  </si>
  <si>
    <t>2024-10-24</t>
  </si>
  <si>
    <t>2024-11-11</t>
  </si>
  <si>
    <t>2024-10-17</t>
  </si>
  <si>
    <t>2024-11-06</t>
  </si>
  <si>
    <t>2024-01-19</t>
  </si>
  <si>
    <t>2024-05-23</t>
  </si>
  <si>
    <t>2024-05-06</t>
  </si>
  <si>
    <t>2024-12-08</t>
  </si>
  <si>
    <t>2024-01-11</t>
  </si>
  <si>
    <t>2024-06-28</t>
  </si>
  <si>
    <t>2024-04-26</t>
  </si>
  <si>
    <t>2024-08-04</t>
  </si>
  <si>
    <t>2024-06-29</t>
  </si>
  <si>
    <t>2024-04-22</t>
  </si>
  <si>
    <t>2024-05-11</t>
  </si>
  <si>
    <t>2024-07-03</t>
  </si>
  <si>
    <t>2024-01-01</t>
  </si>
  <si>
    <t>2024-02-29</t>
  </si>
  <si>
    <t>2024-08-10</t>
  </si>
  <si>
    <t>2024-09-27</t>
  </si>
  <si>
    <t>2024-12-05</t>
  </si>
  <si>
    <t>2024-05-24</t>
  </si>
  <si>
    <t>2024-11-25</t>
  </si>
  <si>
    <t>2024-05-25</t>
  </si>
  <si>
    <t>2024-06-18</t>
  </si>
  <si>
    <t>2024-09-29</t>
  </si>
  <si>
    <t>2024-07-13</t>
  </si>
  <si>
    <t>2024-06-02</t>
  </si>
  <si>
    <t>2024-03-12</t>
  </si>
  <si>
    <t>2024-10-16</t>
  </si>
  <si>
    <t>2024-06-01</t>
  </si>
  <si>
    <t>2024-05-02</t>
  </si>
  <si>
    <t>2024-08-02</t>
  </si>
  <si>
    <t>2024-08-06</t>
  </si>
  <si>
    <t>2024-04-29</t>
  </si>
  <si>
    <t>2024-08-22</t>
  </si>
  <si>
    <t>2024-11-29</t>
  </si>
  <si>
    <t>2024-07-17</t>
  </si>
  <si>
    <t>2024-02-19</t>
  </si>
  <si>
    <t>2024-12-24</t>
  </si>
  <si>
    <t>2024-02-27</t>
  </si>
  <si>
    <t>2024-03-08</t>
  </si>
  <si>
    <t>2024-01-13</t>
  </si>
  <si>
    <t>2024-07-05</t>
  </si>
  <si>
    <t>2024-01-12</t>
  </si>
  <si>
    <t>2024-06-27</t>
  </si>
  <si>
    <t>2024-05-30</t>
  </si>
  <si>
    <t>2024-11-08</t>
  </si>
  <si>
    <t>2024-04-10</t>
  </si>
  <si>
    <t>2024-06-04</t>
  </si>
  <si>
    <t>2024-06-21</t>
  </si>
  <si>
    <t>2024-11-01</t>
  </si>
  <si>
    <t>2024-06-07</t>
  </si>
  <si>
    <t>2024-07-20</t>
  </si>
  <si>
    <t>2024-04-04</t>
  </si>
  <si>
    <t>2024-05-15</t>
  </si>
  <si>
    <t>2024-08-20</t>
  </si>
  <si>
    <t>2024-12-22</t>
  </si>
  <si>
    <t>2024-10-29</t>
  </si>
  <si>
    <t>2024-11-21</t>
  </si>
  <si>
    <t>2024-01-03</t>
  </si>
  <si>
    <t>2024-04-20</t>
  </si>
  <si>
    <t>2024-11-28</t>
  </si>
  <si>
    <t>2024-04-23</t>
  </si>
  <si>
    <t>Total Revenue</t>
  </si>
  <si>
    <t>Total Quantity</t>
  </si>
  <si>
    <t>Average Sales</t>
  </si>
  <si>
    <t>Sales</t>
  </si>
  <si>
    <t>Sales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</si>
</sst>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2" borderId="0" xfId="0" applyFont="1" applyFill="1"/>
    <xf numFmtId="0" fontId="0" fillId="3" borderId="0" xfId="0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b="1"/>
            </a:pPr>
            <a:r>
              <a:rPr lang="en-US" b="1"/>
              <a:t>Sales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Analysis!$B$6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Analysis!$A$7:$A$10</c:f>
              <c:strCache>
                <c:ptCount val="4"/>
                <c:pt idx="0">
                  <c:v>Accra</c:v>
                </c:pt>
                <c:pt idx="1">
                  <c:v>Kumasi</c:v>
                </c:pt>
                <c:pt idx="2">
                  <c:v>Tamale</c:v>
                </c:pt>
                <c:pt idx="3">
                  <c:v>Takoradi</c:v>
                </c:pt>
              </c:strCache>
            </c:strRef>
          </c:cat>
          <c:val>
            <c:numRef>
              <c:f>Analysis!$B$7:$B$10</c:f>
              <c:numCache>
                <c:formatCode>General</c:formatCode>
                <c:ptCount val="4"/>
                <c:pt idx="0">
                  <c:v>70306</c:v>
                </c:pt>
                <c:pt idx="1">
                  <c:v>68788</c:v>
                </c:pt>
                <c:pt idx="2">
                  <c:v>53287</c:v>
                </c:pt>
                <c:pt idx="3">
                  <c:v>84464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C1-42DD-8383-8BD21B429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Sample Trend (Demo)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Analysis!$B$6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Analysis!$A$7:$A$10</c:f>
              <c:strCache>
                <c:ptCount val="4"/>
                <c:pt idx="0">
                  <c:v>Accra</c:v>
                </c:pt>
                <c:pt idx="1">
                  <c:v>Kumasi</c:v>
                </c:pt>
                <c:pt idx="2">
                  <c:v>Tamale</c:v>
                </c:pt>
                <c:pt idx="3">
                  <c:v>Takoradi</c:v>
                </c:pt>
              </c:strCache>
            </c:strRef>
          </c:cat>
          <c:val>
            <c:numRef>
              <c:f>Analysis!$B$7:$B$10</c:f>
              <c:numCache>
                <c:formatCode>General</c:formatCode>
                <c:ptCount val="4"/>
                <c:pt idx="0">
                  <c:v>70306</c:v>
                </c:pt>
                <c:pt idx="1">
                  <c:v>68788</c:v>
                </c:pt>
                <c:pt idx="2">
                  <c:v>53287</c:v>
                </c:pt>
                <c:pt idx="3">
                  <c:v>84464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62D-4EC2-80A3-AA33B743B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5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257175</xdr:colOff>
      <xdr:row>4</xdr:row>
      <xdr:rowOff>57150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>
      <selection activeCell="K13" sqref="K13"/>
    </sheetView>
  </sheetViews>
  <sheetFormatPr defaultRowHeight="15" x14ac:dyDescent="0.25"/>
  <sheetData>
    <row r="1" spans="1:7" ht="2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/>
    </row>
    <row r="2" spans="1:7" x14ac:dyDescent="0.25">
      <c r="A2" t="s">
        <v>6</v>
      </c>
      <c r="B2" t="s">
        <v>7</v>
      </c>
      <c r="C2" t="s">
        <v>8</v>
      </c>
      <c r="D2">
        <v>5</v>
      </c>
      <c r="E2">
        <v>434</v>
      </c>
      <c r="F2">
        <v>2170</v>
      </c>
    </row>
    <row r="3" spans="1:7" x14ac:dyDescent="0.25">
      <c r="A3" t="s">
        <v>9</v>
      </c>
      <c r="B3" t="s">
        <v>10</v>
      </c>
      <c r="C3" t="s">
        <v>11</v>
      </c>
      <c r="D3">
        <v>5</v>
      </c>
      <c r="E3">
        <v>190</v>
      </c>
      <c r="F3">
        <v>950</v>
      </c>
    </row>
    <row r="4" spans="1:7" x14ac:dyDescent="0.25">
      <c r="A4" t="s">
        <v>12</v>
      </c>
      <c r="B4" t="s">
        <v>13</v>
      </c>
      <c r="C4" t="s">
        <v>11</v>
      </c>
      <c r="D4">
        <v>4</v>
      </c>
      <c r="E4">
        <v>261</v>
      </c>
      <c r="F4">
        <v>1044</v>
      </c>
    </row>
    <row r="5" spans="1:7" x14ac:dyDescent="0.25">
      <c r="A5" t="s">
        <v>14</v>
      </c>
      <c r="B5" t="s">
        <v>10</v>
      </c>
      <c r="C5" t="s">
        <v>15</v>
      </c>
      <c r="D5">
        <v>8</v>
      </c>
      <c r="E5">
        <v>448</v>
      </c>
      <c r="F5">
        <v>3584</v>
      </c>
    </row>
    <row r="6" spans="1:7" x14ac:dyDescent="0.25">
      <c r="A6" t="s">
        <v>16</v>
      </c>
      <c r="B6" t="s">
        <v>17</v>
      </c>
      <c r="C6" t="s">
        <v>15</v>
      </c>
      <c r="D6">
        <v>8</v>
      </c>
      <c r="E6">
        <v>57</v>
      </c>
      <c r="F6">
        <v>456</v>
      </c>
    </row>
    <row r="7" spans="1:7" x14ac:dyDescent="0.25">
      <c r="A7" t="s">
        <v>18</v>
      </c>
      <c r="B7" t="s">
        <v>19</v>
      </c>
      <c r="C7" t="s">
        <v>11</v>
      </c>
      <c r="D7">
        <v>6</v>
      </c>
      <c r="E7">
        <v>499</v>
      </c>
      <c r="F7">
        <v>2994</v>
      </c>
    </row>
    <row r="8" spans="1:7" x14ac:dyDescent="0.25">
      <c r="A8" t="s">
        <v>20</v>
      </c>
      <c r="B8" t="s">
        <v>10</v>
      </c>
      <c r="C8" t="s">
        <v>15</v>
      </c>
      <c r="D8">
        <v>8</v>
      </c>
      <c r="E8">
        <v>183</v>
      </c>
      <c r="F8">
        <v>1464</v>
      </c>
    </row>
    <row r="9" spans="1:7" x14ac:dyDescent="0.25">
      <c r="A9" t="s">
        <v>21</v>
      </c>
      <c r="B9" t="s">
        <v>10</v>
      </c>
      <c r="C9" t="s">
        <v>15</v>
      </c>
      <c r="D9">
        <v>6</v>
      </c>
      <c r="E9">
        <v>191</v>
      </c>
      <c r="F9">
        <v>1146</v>
      </c>
    </row>
    <row r="10" spans="1:7" x14ac:dyDescent="0.25">
      <c r="A10" t="s">
        <v>22</v>
      </c>
      <c r="B10" t="s">
        <v>19</v>
      </c>
      <c r="C10" t="s">
        <v>11</v>
      </c>
      <c r="D10">
        <v>4</v>
      </c>
      <c r="E10">
        <v>318</v>
      </c>
      <c r="F10">
        <v>1272</v>
      </c>
    </row>
    <row r="11" spans="1:7" x14ac:dyDescent="0.25">
      <c r="A11" t="s">
        <v>23</v>
      </c>
      <c r="B11" t="s">
        <v>13</v>
      </c>
      <c r="C11" t="s">
        <v>11</v>
      </c>
      <c r="D11">
        <v>2</v>
      </c>
      <c r="E11">
        <v>335</v>
      </c>
      <c r="F11">
        <v>670</v>
      </c>
    </row>
    <row r="12" spans="1:7" x14ac:dyDescent="0.25">
      <c r="A12" t="s">
        <v>24</v>
      </c>
      <c r="B12" t="s">
        <v>13</v>
      </c>
      <c r="C12" t="s">
        <v>15</v>
      </c>
      <c r="D12">
        <v>4</v>
      </c>
      <c r="E12">
        <v>350</v>
      </c>
      <c r="F12">
        <v>1400</v>
      </c>
    </row>
    <row r="13" spans="1:7" x14ac:dyDescent="0.25">
      <c r="A13" t="s">
        <v>25</v>
      </c>
      <c r="B13" t="s">
        <v>17</v>
      </c>
      <c r="C13" t="s">
        <v>15</v>
      </c>
      <c r="D13">
        <v>7</v>
      </c>
      <c r="E13">
        <v>278</v>
      </c>
      <c r="F13">
        <v>1946</v>
      </c>
    </row>
    <row r="14" spans="1:7" x14ac:dyDescent="0.25">
      <c r="A14" t="s">
        <v>26</v>
      </c>
      <c r="B14" t="s">
        <v>19</v>
      </c>
      <c r="C14" t="s">
        <v>27</v>
      </c>
      <c r="D14">
        <v>2</v>
      </c>
      <c r="E14">
        <v>133</v>
      </c>
      <c r="F14">
        <v>266</v>
      </c>
    </row>
    <row r="15" spans="1:7" x14ac:dyDescent="0.25">
      <c r="A15" t="s">
        <v>28</v>
      </c>
      <c r="B15" t="s">
        <v>13</v>
      </c>
      <c r="C15" t="s">
        <v>15</v>
      </c>
      <c r="D15">
        <v>2</v>
      </c>
      <c r="E15">
        <v>309</v>
      </c>
      <c r="F15">
        <v>618</v>
      </c>
    </row>
    <row r="16" spans="1:7" x14ac:dyDescent="0.25">
      <c r="A16" t="s">
        <v>29</v>
      </c>
      <c r="B16" t="s">
        <v>10</v>
      </c>
      <c r="C16" t="s">
        <v>8</v>
      </c>
      <c r="D16">
        <v>5</v>
      </c>
      <c r="E16">
        <v>65</v>
      </c>
      <c r="F16">
        <v>325</v>
      </c>
    </row>
    <row r="17" spans="1:6" x14ac:dyDescent="0.25">
      <c r="A17" t="s">
        <v>30</v>
      </c>
      <c r="B17" t="s">
        <v>17</v>
      </c>
      <c r="C17" t="s">
        <v>11</v>
      </c>
      <c r="D17">
        <v>7</v>
      </c>
      <c r="E17">
        <v>438</v>
      </c>
      <c r="F17">
        <v>3066</v>
      </c>
    </row>
    <row r="18" spans="1:6" x14ac:dyDescent="0.25">
      <c r="A18" t="s">
        <v>31</v>
      </c>
      <c r="B18" t="s">
        <v>13</v>
      </c>
      <c r="C18" t="s">
        <v>8</v>
      </c>
      <c r="D18">
        <v>5</v>
      </c>
      <c r="E18">
        <v>270</v>
      </c>
      <c r="F18">
        <v>1350</v>
      </c>
    </row>
    <row r="19" spans="1:6" x14ac:dyDescent="0.25">
      <c r="A19" t="s">
        <v>32</v>
      </c>
      <c r="B19" t="s">
        <v>7</v>
      </c>
      <c r="C19" t="s">
        <v>11</v>
      </c>
      <c r="D19">
        <v>5</v>
      </c>
      <c r="E19">
        <v>418</v>
      </c>
      <c r="F19">
        <v>2090</v>
      </c>
    </row>
    <row r="20" spans="1:6" x14ac:dyDescent="0.25">
      <c r="A20" t="s">
        <v>33</v>
      </c>
      <c r="B20" t="s">
        <v>17</v>
      </c>
      <c r="C20" t="s">
        <v>27</v>
      </c>
      <c r="D20">
        <v>8</v>
      </c>
      <c r="E20">
        <v>183</v>
      </c>
      <c r="F20">
        <v>1464</v>
      </c>
    </row>
    <row r="21" spans="1:6" x14ac:dyDescent="0.25">
      <c r="A21" t="s">
        <v>34</v>
      </c>
      <c r="B21" t="s">
        <v>7</v>
      </c>
      <c r="C21" t="s">
        <v>27</v>
      </c>
      <c r="D21">
        <v>9</v>
      </c>
      <c r="E21">
        <v>191</v>
      </c>
      <c r="F21">
        <v>1719</v>
      </c>
    </row>
    <row r="22" spans="1:6" x14ac:dyDescent="0.25">
      <c r="A22" t="s">
        <v>35</v>
      </c>
      <c r="B22" t="s">
        <v>13</v>
      </c>
      <c r="C22" t="s">
        <v>15</v>
      </c>
      <c r="D22">
        <v>1</v>
      </c>
      <c r="E22">
        <v>264</v>
      </c>
      <c r="F22">
        <v>264</v>
      </c>
    </row>
    <row r="23" spans="1:6" x14ac:dyDescent="0.25">
      <c r="A23" t="s">
        <v>36</v>
      </c>
      <c r="B23" t="s">
        <v>19</v>
      </c>
      <c r="C23" t="s">
        <v>15</v>
      </c>
      <c r="D23">
        <v>9</v>
      </c>
      <c r="E23">
        <v>414</v>
      </c>
      <c r="F23">
        <v>3726</v>
      </c>
    </row>
    <row r="24" spans="1:6" x14ac:dyDescent="0.25">
      <c r="A24" t="s">
        <v>26</v>
      </c>
      <c r="B24" t="s">
        <v>19</v>
      </c>
      <c r="C24" t="s">
        <v>15</v>
      </c>
      <c r="D24">
        <v>3</v>
      </c>
      <c r="E24">
        <v>156</v>
      </c>
      <c r="F24">
        <v>468</v>
      </c>
    </row>
    <row r="25" spans="1:6" x14ac:dyDescent="0.25">
      <c r="A25" t="s">
        <v>37</v>
      </c>
      <c r="B25" t="s">
        <v>17</v>
      </c>
      <c r="C25" t="s">
        <v>15</v>
      </c>
      <c r="D25">
        <v>1</v>
      </c>
      <c r="E25">
        <v>103</v>
      </c>
      <c r="F25">
        <v>103</v>
      </c>
    </row>
    <row r="26" spans="1:6" x14ac:dyDescent="0.25">
      <c r="A26" t="s">
        <v>38</v>
      </c>
      <c r="B26" t="s">
        <v>17</v>
      </c>
      <c r="C26" t="s">
        <v>11</v>
      </c>
      <c r="D26">
        <v>10</v>
      </c>
      <c r="E26">
        <v>433</v>
      </c>
      <c r="F26">
        <v>4330</v>
      </c>
    </row>
    <row r="27" spans="1:6" x14ac:dyDescent="0.25">
      <c r="A27" t="s">
        <v>39</v>
      </c>
      <c r="B27" t="s">
        <v>19</v>
      </c>
      <c r="C27" t="s">
        <v>11</v>
      </c>
      <c r="D27">
        <v>2</v>
      </c>
      <c r="E27">
        <v>69</v>
      </c>
      <c r="F27">
        <v>138</v>
      </c>
    </row>
    <row r="28" spans="1:6" x14ac:dyDescent="0.25">
      <c r="A28" t="s">
        <v>40</v>
      </c>
      <c r="B28" t="s">
        <v>13</v>
      </c>
      <c r="C28" t="s">
        <v>8</v>
      </c>
      <c r="D28">
        <v>2</v>
      </c>
      <c r="E28">
        <v>402</v>
      </c>
      <c r="F28">
        <v>804</v>
      </c>
    </row>
    <row r="29" spans="1:6" x14ac:dyDescent="0.25">
      <c r="A29" t="s">
        <v>41</v>
      </c>
      <c r="B29" t="s">
        <v>13</v>
      </c>
      <c r="C29" t="s">
        <v>8</v>
      </c>
      <c r="D29">
        <v>3</v>
      </c>
      <c r="E29">
        <v>420</v>
      </c>
      <c r="F29">
        <v>1260</v>
      </c>
    </row>
    <row r="30" spans="1:6" x14ac:dyDescent="0.25">
      <c r="A30" t="s">
        <v>42</v>
      </c>
      <c r="B30" t="s">
        <v>10</v>
      </c>
      <c r="C30" t="s">
        <v>11</v>
      </c>
      <c r="D30">
        <v>6</v>
      </c>
      <c r="E30">
        <v>78</v>
      </c>
      <c r="F30">
        <v>468</v>
      </c>
    </row>
    <row r="31" spans="1:6" x14ac:dyDescent="0.25">
      <c r="A31" t="s">
        <v>43</v>
      </c>
      <c r="B31" t="s">
        <v>7</v>
      </c>
      <c r="C31" t="s">
        <v>11</v>
      </c>
      <c r="D31">
        <v>5</v>
      </c>
      <c r="E31">
        <v>50</v>
      </c>
      <c r="F31">
        <v>250</v>
      </c>
    </row>
    <row r="32" spans="1:6" x14ac:dyDescent="0.25">
      <c r="A32" t="s">
        <v>39</v>
      </c>
      <c r="B32" t="s">
        <v>19</v>
      </c>
      <c r="C32" t="s">
        <v>11</v>
      </c>
      <c r="D32">
        <v>8</v>
      </c>
      <c r="E32">
        <v>159</v>
      </c>
      <c r="F32">
        <v>1272</v>
      </c>
    </row>
    <row r="33" spans="1:6" x14ac:dyDescent="0.25">
      <c r="A33" t="s">
        <v>44</v>
      </c>
      <c r="B33" t="s">
        <v>7</v>
      </c>
      <c r="C33" t="s">
        <v>27</v>
      </c>
      <c r="D33">
        <v>4</v>
      </c>
      <c r="E33">
        <v>344</v>
      </c>
      <c r="F33">
        <v>1376</v>
      </c>
    </row>
    <row r="34" spans="1:6" x14ac:dyDescent="0.25">
      <c r="A34" t="s">
        <v>45</v>
      </c>
      <c r="B34" t="s">
        <v>10</v>
      </c>
      <c r="C34" t="s">
        <v>8</v>
      </c>
      <c r="D34">
        <v>3</v>
      </c>
      <c r="E34">
        <v>120</v>
      </c>
      <c r="F34">
        <v>360</v>
      </c>
    </row>
    <row r="35" spans="1:6" x14ac:dyDescent="0.25">
      <c r="A35" t="s">
        <v>46</v>
      </c>
      <c r="B35" t="s">
        <v>7</v>
      </c>
      <c r="C35" t="s">
        <v>27</v>
      </c>
      <c r="D35">
        <v>6</v>
      </c>
      <c r="E35">
        <v>408</v>
      </c>
      <c r="F35">
        <v>2448</v>
      </c>
    </row>
    <row r="36" spans="1:6" x14ac:dyDescent="0.25">
      <c r="A36" t="s">
        <v>47</v>
      </c>
      <c r="B36" t="s">
        <v>19</v>
      </c>
      <c r="C36" t="s">
        <v>8</v>
      </c>
      <c r="D36">
        <v>4</v>
      </c>
      <c r="E36">
        <v>146</v>
      </c>
      <c r="F36">
        <v>584</v>
      </c>
    </row>
    <row r="37" spans="1:6" x14ac:dyDescent="0.25">
      <c r="A37" t="s">
        <v>48</v>
      </c>
      <c r="B37" t="s">
        <v>7</v>
      </c>
      <c r="C37" t="s">
        <v>8</v>
      </c>
      <c r="D37">
        <v>2</v>
      </c>
      <c r="E37">
        <v>392</v>
      </c>
      <c r="F37">
        <v>784</v>
      </c>
    </row>
    <row r="38" spans="1:6" x14ac:dyDescent="0.25">
      <c r="A38" t="s">
        <v>49</v>
      </c>
      <c r="B38" t="s">
        <v>19</v>
      </c>
      <c r="C38" t="s">
        <v>8</v>
      </c>
      <c r="D38">
        <v>10</v>
      </c>
      <c r="E38">
        <v>416</v>
      </c>
      <c r="F38">
        <v>4160</v>
      </c>
    </row>
    <row r="39" spans="1:6" x14ac:dyDescent="0.25">
      <c r="A39" t="s">
        <v>50</v>
      </c>
      <c r="B39" t="s">
        <v>13</v>
      </c>
      <c r="C39" t="s">
        <v>15</v>
      </c>
      <c r="D39">
        <v>3</v>
      </c>
      <c r="E39">
        <v>91</v>
      </c>
      <c r="F39">
        <v>273</v>
      </c>
    </row>
    <row r="40" spans="1:6" x14ac:dyDescent="0.25">
      <c r="A40" t="s">
        <v>51</v>
      </c>
      <c r="B40" t="s">
        <v>7</v>
      </c>
      <c r="C40" t="s">
        <v>8</v>
      </c>
      <c r="D40">
        <v>7</v>
      </c>
      <c r="E40">
        <v>220</v>
      </c>
      <c r="F40">
        <v>1540</v>
      </c>
    </row>
    <row r="41" spans="1:6" x14ac:dyDescent="0.25">
      <c r="A41" t="s">
        <v>52</v>
      </c>
      <c r="B41" t="s">
        <v>17</v>
      </c>
      <c r="C41" t="s">
        <v>11</v>
      </c>
      <c r="D41">
        <v>10</v>
      </c>
      <c r="E41">
        <v>411</v>
      </c>
      <c r="F41">
        <v>4110</v>
      </c>
    </row>
    <row r="42" spans="1:6" x14ac:dyDescent="0.25">
      <c r="A42" t="s">
        <v>53</v>
      </c>
      <c r="B42" t="s">
        <v>17</v>
      </c>
      <c r="C42" t="s">
        <v>8</v>
      </c>
      <c r="D42">
        <v>3</v>
      </c>
      <c r="E42">
        <v>58</v>
      </c>
      <c r="F42">
        <v>174</v>
      </c>
    </row>
    <row r="43" spans="1:6" x14ac:dyDescent="0.25">
      <c r="A43" t="s">
        <v>54</v>
      </c>
      <c r="B43" t="s">
        <v>13</v>
      </c>
      <c r="C43" t="s">
        <v>11</v>
      </c>
      <c r="D43">
        <v>9</v>
      </c>
      <c r="E43">
        <v>100</v>
      </c>
      <c r="F43">
        <v>900</v>
      </c>
    </row>
    <row r="44" spans="1:6" x14ac:dyDescent="0.25">
      <c r="A44" t="s">
        <v>55</v>
      </c>
      <c r="B44" t="s">
        <v>10</v>
      </c>
      <c r="C44" t="s">
        <v>8</v>
      </c>
      <c r="D44">
        <v>3</v>
      </c>
      <c r="E44">
        <v>217</v>
      </c>
      <c r="F44">
        <v>651</v>
      </c>
    </row>
    <row r="45" spans="1:6" x14ac:dyDescent="0.25">
      <c r="A45" t="s">
        <v>56</v>
      </c>
      <c r="B45" t="s">
        <v>10</v>
      </c>
      <c r="C45" t="s">
        <v>11</v>
      </c>
      <c r="D45">
        <v>8</v>
      </c>
      <c r="E45">
        <v>346</v>
      </c>
      <c r="F45">
        <v>2768</v>
      </c>
    </row>
    <row r="46" spans="1:6" x14ac:dyDescent="0.25">
      <c r="A46" t="s">
        <v>57</v>
      </c>
      <c r="B46" t="s">
        <v>7</v>
      </c>
      <c r="C46" t="s">
        <v>27</v>
      </c>
      <c r="D46">
        <v>1</v>
      </c>
      <c r="E46">
        <v>416</v>
      </c>
      <c r="F46">
        <v>416</v>
      </c>
    </row>
    <row r="47" spans="1:6" x14ac:dyDescent="0.25">
      <c r="A47" t="s">
        <v>58</v>
      </c>
      <c r="B47" t="s">
        <v>7</v>
      </c>
      <c r="C47" t="s">
        <v>27</v>
      </c>
      <c r="D47">
        <v>3</v>
      </c>
      <c r="E47">
        <v>406</v>
      </c>
      <c r="F47">
        <v>1218</v>
      </c>
    </row>
    <row r="48" spans="1:6" x14ac:dyDescent="0.25">
      <c r="A48" t="s">
        <v>59</v>
      </c>
      <c r="B48" t="s">
        <v>7</v>
      </c>
      <c r="C48" t="s">
        <v>8</v>
      </c>
      <c r="D48">
        <v>10</v>
      </c>
      <c r="E48">
        <v>77</v>
      </c>
      <c r="F48">
        <v>770</v>
      </c>
    </row>
    <row r="49" spans="1:6" x14ac:dyDescent="0.25">
      <c r="A49" t="s">
        <v>60</v>
      </c>
      <c r="B49" t="s">
        <v>7</v>
      </c>
      <c r="C49" t="s">
        <v>11</v>
      </c>
      <c r="D49">
        <v>9</v>
      </c>
      <c r="E49">
        <v>167</v>
      </c>
      <c r="F49">
        <v>1503</v>
      </c>
    </row>
    <row r="50" spans="1:6" x14ac:dyDescent="0.25">
      <c r="A50" t="s">
        <v>61</v>
      </c>
      <c r="B50" t="s">
        <v>7</v>
      </c>
      <c r="C50" t="s">
        <v>27</v>
      </c>
      <c r="D50">
        <v>2</v>
      </c>
      <c r="E50">
        <v>333</v>
      </c>
      <c r="F50">
        <v>666</v>
      </c>
    </row>
    <row r="51" spans="1:6" x14ac:dyDescent="0.25">
      <c r="A51" t="s">
        <v>62</v>
      </c>
      <c r="B51" t="s">
        <v>7</v>
      </c>
      <c r="C51" t="s">
        <v>27</v>
      </c>
      <c r="D51">
        <v>6</v>
      </c>
      <c r="E51">
        <v>305</v>
      </c>
      <c r="F51">
        <v>1830</v>
      </c>
    </row>
    <row r="52" spans="1:6" x14ac:dyDescent="0.25">
      <c r="A52" t="s">
        <v>57</v>
      </c>
      <c r="B52" t="s">
        <v>7</v>
      </c>
      <c r="C52" t="s">
        <v>15</v>
      </c>
      <c r="D52">
        <v>8</v>
      </c>
      <c r="E52">
        <v>323</v>
      </c>
      <c r="F52">
        <v>2584</v>
      </c>
    </row>
    <row r="53" spans="1:6" x14ac:dyDescent="0.25">
      <c r="A53" t="s">
        <v>63</v>
      </c>
      <c r="B53" t="s">
        <v>17</v>
      </c>
      <c r="C53" t="s">
        <v>11</v>
      </c>
      <c r="D53">
        <v>2</v>
      </c>
      <c r="E53">
        <v>439</v>
      </c>
      <c r="F53">
        <v>878</v>
      </c>
    </row>
    <row r="54" spans="1:6" x14ac:dyDescent="0.25">
      <c r="A54" t="s">
        <v>30</v>
      </c>
      <c r="B54" t="s">
        <v>17</v>
      </c>
      <c r="C54" t="s">
        <v>15</v>
      </c>
      <c r="D54">
        <v>2</v>
      </c>
      <c r="E54">
        <v>115</v>
      </c>
      <c r="F54">
        <v>230</v>
      </c>
    </row>
    <row r="55" spans="1:6" x14ac:dyDescent="0.25">
      <c r="A55" t="s">
        <v>64</v>
      </c>
      <c r="B55" t="s">
        <v>7</v>
      </c>
      <c r="C55" t="s">
        <v>8</v>
      </c>
      <c r="D55">
        <v>6</v>
      </c>
      <c r="E55">
        <v>216</v>
      </c>
      <c r="F55">
        <v>1296</v>
      </c>
    </row>
    <row r="56" spans="1:6" x14ac:dyDescent="0.25">
      <c r="A56" t="s">
        <v>65</v>
      </c>
      <c r="B56" t="s">
        <v>13</v>
      </c>
      <c r="C56" t="s">
        <v>11</v>
      </c>
      <c r="D56">
        <v>4</v>
      </c>
      <c r="E56">
        <v>267</v>
      </c>
      <c r="F56">
        <v>1068</v>
      </c>
    </row>
    <row r="57" spans="1:6" x14ac:dyDescent="0.25">
      <c r="A57" t="s">
        <v>66</v>
      </c>
      <c r="B57" t="s">
        <v>7</v>
      </c>
      <c r="C57" t="s">
        <v>27</v>
      </c>
      <c r="D57">
        <v>10</v>
      </c>
      <c r="E57">
        <v>199</v>
      </c>
      <c r="F57">
        <v>1990</v>
      </c>
    </row>
    <row r="58" spans="1:6" x14ac:dyDescent="0.25">
      <c r="A58" t="s">
        <v>67</v>
      </c>
      <c r="B58" t="s">
        <v>17</v>
      </c>
      <c r="C58" t="s">
        <v>8</v>
      </c>
      <c r="D58">
        <v>2</v>
      </c>
      <c r="E58">
        <v>152</v>
      </c>
      <c r="F58">
        <v>304</v>
      </c>
    </row>
    <row r="59" spans="1:6" x14ac:dyDescent="0.25">
      <c r="A59" t="s">
        <v>68</v>
      </c>
      <c r="B59" t="s">
        <v>10</v>
      </c>
      <c r="C59" t="s">
        <v>11</v>
      </c>
      <c r="D59">
        <v>4</v>
      </c>
      <c r="E59">
        <v>282</v>
      </c>
      <c r="F59">
        <v>1128</v>
      </c>
    </row>
    <row r="60" spans="1:6" x14ac:dyDescent="0.25">
      <c r="A60" t="s">
        <v>69</v>
      </c>
      <c r="B60" t="s">
        <v>17</v>
      </c>
      <c r="C60" t="s">
        <v>27</v>
      </c>
      <c r="D60">
        <v>6</v>
      </c>
      <c r="E60">
        <v>93</v>
      </c>
      <c r="F60">
        <v>558</v>
      </c>
    </row>
    <row r="61" spans="1:6" x14ac:dyDescent="0.25">
      <c r="A61" t="s">
        <v>70</v>
      </c>
      <c r="B61" t="s">
        <v>19</v>
      </c>
      <c r="C61" t="s">
        <v>11</v>
      </c>
      <c r="D61">
        <v>8</v>
      </c>
      <c r="E61">
        <v>167</v>
      </c>
      <c r="F61">
        <v>1336</v>
      </c>
    </row>
    <row r="62" spans="1:6" x14ac:dyDescent="0.25">
      <c r="A62" t="s">
        <v>71</v>
      </c>
      <c r="B62" t="s">
        <v>7</v>
      </c>
      <c r="C62" t="s">
        <v>8</v>
      </c>
      <c r="D62">
        <v>10</v>
      </c>
      <c r="E62">
        <v>81</v>
      </c>
      <c r="F62">
        <v>810</v>
      </c>
    </row>
    <row r="63" spans="1:6" x14ac:dyDescent="0.25">
      <c r="A63" t="s">
        <v>72</v>
      </c>
      <c r="B63" t="s">
        <v>10</v>
      </c>
      <c r="C63" t="s">
        <v>8</v>
      </c>
      <c r="D63">
        <v>5</v>
      </c>
      <c r="E63">
        <v>91</v>
      </c>
      <c r="F63">
        <v>455</v>
      </c>
    </row>
    <row r="64" spans="1:6" x14ac:dyDescent="0.25">
      <c r="A64" t="s">
        <v>48</v>
      </c>
      <c r="B64" t="s">
        <v>17</v>
      </c>
      <c r="C64" t="s">
        <v>15</v>
      </c>
      <c r="D64">
        <v>7</v>
      </c>
      <c r="E64">
        <v>437</v>
      </c>
      <c r="F64">
        <v>3059</v>
      </c>
    </row>
    <row r="65" spans="1:6" x14ac:dyDescent="0.25">
      <c r="A65" t="s">
        <v>12</v>
      </c>
      <c r="B65" t="s">
        <v>19</v>
      </c>
      <c r="C65" t="s">
        <v>27</v>
      </c>
      <c r="D65">
        <v>7</v>
      </c>
      <c r="E65">
        <v>118</v>
      </c>
      <c r="F65">
        <v>826</v>
      </c>
    </row>
    <row r="66" spans="1:6" x14ac:dyDescent="0.25">
      <c r="A66" t="s">
        <v>73</v>
      </c>
      <c r="B66" t="s">
        <v>10</v>
      </c>
      <c r="C66" t="s">
        <v>15</v>
      </c>
      <c r="D66">
        <v>4</v>
      </c>
      <c r="E66">
        <v>67</v>
      </c>
      <c r="F66">
        <v>268</v>
      </c>
    </row>
    <row r="67" spans="1:6" x14ac:dyDescent="0.25">
      <c r="A67" t="s">
        <v>74</v>
      </c>
      <c r="B67" t="s">
        <v>7</v>
      </c>
      <c r="C67" t="s">
        <v>8</v>
      </c>
      <c r="D67">
        <v>1</v>
      </c>
      <c r="E67">
        <v>305</v>
      </c>
      <c r="F67">
        <v>305</v>
      </c>
    </row>
    <row r="68" spans="1:6" x14ac:dyDescent="0.25">
      <c r="A68" t="s">
        <v>75</v>
      </c>
      <c r="B68" t="s">
        <v>19</v>
      </c>
      <c r="C68" t="s">
        <v>8</v>
      </c>
      <c r="D68">
        <v>4</v>
      </c>
      <c r="E68">
        <v>332</v>
      </c>
      <c r="F68">
        <v>1328</v>
      </c>
    </row>
    <row r="69" spans="1:6" x14ac:dyDescent="0.25">
      <c r="A69" t="s">
        <v>71</v>
      </c>
      <c r="B69" t="s">
        <v>13</v>
      </c>
      <c r="C69" t="s">
        <v>8</v>
      </c>
      <c r="D69">
        <v>3</v>
      </c>
      <c r="E69">
        <v>421</v>
      </c>
      <c r="F69">
        <v>1263</v>
      </c>
    </row>
    <row r="70" spans="1:6" x14ac:dyDescent="0.25">
      <c r="A70" t="s">
        <v>76</v>
      </c>
      <c r="B70" t="s">
        <v>17</v>
      </c>
      <c r="C70" t="s">
        <v>11</v>
      </c>
      <c r="D70">
        <v>6</v>
      </c>
      <c r="E70">
        <v>143</v>
      </c>
      <c r="F70">
        <v>858</v>
      </c>
    </row>
    <row r="71" spans="1:6" x14ac:dyDescent="0.25">
      <c r="A71" t="s">
        <v>77</v>
      </c>
      <c r="B71" t="s">
        <v>13</v>
      </c>
      <c r="C71" t="s">
        <v>8</v>
      </c>
      <c r="D71">
        <v>10</v>
      </c>
      <c r="E71">
        <v>170</v>
      </c>
      <c r="F71">
        <v>1700</v>
      </c>
    </row>
    <row r="72" spans="1:6" x14ac:dyDescent="0.25">
      <c r="A72" t="s">
        <v>34</v>
      </c>
      <c r="B72" t="s">
        <v>10</v>
      </c>
      <c r="C72" t="s">
        <v>11</v>
      </c>
      <c r="D72">
        <v>2</v>
      </c>
      <c r="E72">
        <v>394</v>
      </c>
      <c r="F72">
        <v>788</v>
      </c>
    </row>
    <row r="73" spans="1:6" x14ac:dyDescent="0.25">
      <c r="A73" t="s">
        <v>78</v>
      </c>
      <c r="B73" t="s">
        <v>7</v>
      </c>
      <c r="C73" t="s">
        <v>8</v>
      </c>
      <c r="D73">
        <v>1</v>
      </c>
      <c r="E73">
        <v>318</v>
      </c>
      <c r="F73">
        <v>318</v>
      </c>
    </row>
    <row r="74" spans="1:6" x14ac:dyDescent="0.25">
      <c r="A74" t="s">
        <v>79</v>
      </c>
      <c r="B74" t="s">
        <v>10</v>
      </c>
      <c r="C74" t="s">
        <v>15</v>
      </c>
      <c r="D74">
        <v>10</v>
      </c>
      <c r="E74">
        <v>306</v>
      </c>
      <c r="F74">
        <v>3060</v>
      </c>
    </row>
    <row r="75" spans="1:6" x14ac:dyDescent="0.25">
      <c r="A75" t="s">
        <v>80</v>
      </c>
      <c r="B75" t="s">
        <v>13</v>
      </c>
      <c r="C75" t="s">
        <v>8</v>
      </c>
      <c r="D75">
        <v>6</v>
      </c>
      <c r="E75">
        <v>406</v>
      </c>
      <c r="F75">
        <v>2436</v>
      </c>
    </row>
    <row r="76" spans="1:6" x14ac:dyDescent="0.25">
      <c r="A76" t="s">
        <v>81</v>
      </c>
      <c r="B76" t="s">
        <v>13</v>
      </c>
      <c r="C76" t="s">
        <v>11</v>
      </c>
      <c r="D76">
        <v>9</v>
      </c>
      <c r="E76">
        <v>62</v>
      </c>
      <c r="F76">
        <v>558</v>
      </c>
    </row>
    <row r="77" spans="1:6" x14ac:dyDescent="0.25">
      <c r="A77" t="s">
        <v>82</v>
      </c>
      <c r="B77" t="s">
        <v>13</v>
      </c>
      <c r="C77" t="s">
        <v>8</v>
      </c>
      <c r="D77">
        <v>5</v>
      </c>
      <c r="E77">
        <v>167</v>
      </c>
      <c r="F77">
        <v>835</v>
      </c>
    </row>
    <row r="78" spans="1:6" x14ac:dyDescent="0.25">
      <c r="A78" t="s">
        <v>60</v>
      </c>
      <c r="B78" t="s">
        <v>19</v>
      </c>
      <c r="C78" t="s">
        <v>27</v>
      </c>
      <c r="D78">
        <v>3</v>
      </c>
      <c r="E78">
        <v>165</v>
      </c>
      <c r="F78">
        <v>495</v>
      </c>
    </row>
    <row r="79" spans="1:6" x14ac:dyDescent="0.25">
      <c r="A79" t="s">
        <v>83</v>
      </c>
      <c r="B79" t="s">
        <v>13</v>
      </c>
      <c r="C79" t="s">
        <v>27</v>
      </c>
      <c r="D79">
        <v>7</v>
      </c>
      <c r="E79">
        <v>53</v>
      </c>
      <c r="F79">
        <v>371</v>
      </c>
    </row>
    <row r="80" spans="1:6" x14ac:dyDescent="0.25">
      <c r="A80" t="s">
        <v>84</v>
      </c>
      <c r="B80" t="s">
        <v>19</v>
      </c>
      <c r="C80" t="s">
        <v>15</v>
      </c>
      <c r="D80">
        <v>7</v>
      </c>
      <c r="E80">
        <v>396</v>
      </c>
      <c r="F80">
        <v>2772</v>
      </c>
    </row>
    <row r="81" spans="1:6" x14ac:dyDescent="0.25">
      <c r="A81" t="s">
        <v>85</v>
      </c>
      <c r="B81" t="s">
        <v>17</v>
      </c>
      <c r="C81" t="s">
        <v>27</v>
      </c>
      <c r="D81">
        <v>6</v>
      </c>
      <c r="E81">
        <v>317</v>
      </c>
      <c r="F81">
        <v>1902</v>
      </c>
    </row>
    <row r="82" spans="1:6" x14ac:dyDescent="0.25">
      <c r="A82" t="s">
        <v>86</v>
      </c>
      <c r="B82" t="s">
        <v>19</v>
      </c>
      <c r="C82" t="s">
        <v>27</v>
      </c>
      <c r="D82">
        <v>8</v>
      </c>
      <c r="E82">
        <v>234</v>
      </c>
      <c r="F82">
        <v>1872</v>
      </c>
    </row>
    <row r="83" spans="1:6" x14ac:dyDescent="0.25">
      <c r="A83" t="s">
        <v>87</v>
      </c>
      <c r="B83" t="s">
        <v>10</v>
      </c>
      <c r="C83" t="s">
        <v>8</v>
      </c>
      <c r="D83">
        <v>8</v>
      </c>
      <c r="E83">
        <v>119</v>
      </c>
      <c r="F83">
        <v>952</v>
      </c>
    </row>
    <row r="84" spans="1:6" x14ac:dyDescent="0.25">
      <c r="A84" t="s">
        <v>88</v>
      </c>
      <c r="B84" t="s">
        <v>19</v>
      </c>
      <c r="C84" t="s">
        <v>8</v>
      </c>
      <c r="D84">
        <v>5</v>
      </c>
      <c r="E84">
        <v>247</v>
      </c>
      <c r="F84">
        <v>1235</v>
      </c>
    </row>
    <row r="85" spans="1:6" x14ac:dyDescent="0.25">
      <c r="A85" t="s">
        <v>89</v>
      </c>
      <c r="B85" t="s">
        <v>19</v>
      </c>
      <c r="C85" t="s">
        <v>8</v>
      </c>
      <c r="D85">
        <v>4</v>
      </c>
      <c r="E85">
        <v>85</v>
      </c>
      <c r="F85">
        <v>340</v>
      </c>
    </row>
    <row r="86" spans="1:6" x14ac:dyDescent="0.25">
      <c r="A86" t="s">
        <v>90</v>
      </c>
      <c r="B86" t="s">
        <v>7</v>
      </c>
      <c r="C86" t="s">
        <v>15</v>
      </c>
      <c r="D86">
        <v>4</v>
      </c>
      <c r="E86">
        <v>496</v>
      </c>
      <c r="F86">
        <v>1984</v>
      </c>
    </row>
    <row r="87" spans="1:6" x14ac:dyDescent="0.25">
      <c r="A87" t="s">
        <v>44</v>
      </c>
      <c r="B87" t="s">
        <v>19</v>
      </c>
      <c r="C87" t="s">
        <v>11</v>
      </c>
      <c r="D87">
        <v>6</v>
      </c>
      <c r="E87">
        <v>132</v>
      </c>
      <c r="F87">
        <v>792</v>
      </c>
    </row>
    <row r="88" spans="1:6" x14ac:dyDescent="0.25">
      <c r="A88" t="s">
        <v>91</v>
      </c>
      <c r="B88" t="s">
        <v>13</v>
      </c>
      <c r="C88" t="s">
        <v>15</v>
      </c>
      <c r="D88">
        <v>6</v>
      </c>
      <c r="E88">
        <v>133</v>
      </c>
      <c r="F88">
        <v>798</v>
      </c>
    </row>
    <row r="89" spans="1:6" x14ac:dyDescent="0.25">
      <c r="A89" t="s">
        <v>92</v>
      </c>
      <c r="B89" t="s">
        <v>13</v>
      </c>
      <c r="C89" t="s">
        <v>27</v>
      </c>
      <c r="D89">
        <v>4</v>
      </c>
      <c r="E89">
        <v>356</v>
      </c>
      <c r="F89">
        <v>1424</v>
      </c>
    </row>
    <row r="90" spans="1:6" x14ac:dyDescent="0.25">
      <c r="A90" t="s">
        <v>86</v>
      </c>
      <c r="B90" t="s">
        <v>13</v>
      </c>
      <c r="C90" t="s">
        <v>11</v>
      </c>
      <c r="D90">
        <v>10</v>
      </c>
      <c r="E90">
        <v>212</v>
      </c>
      <c r="F90">
        <v>2120</v>
      </c>
    </row>
    <row r="91" spans="1:6" x14ac:dyDescent="0.25">
      <c r="A91" t="s">
        <v>93</v>
      </c>
      <c r="B91" t="s">
        <v>7</v>
      </c>
      <c r="C91" t="s">
        <v>27</v>
      </c>
      <c r="D91">
        <v>6</v>
      </c>
      <c r="E91">
        <v>198</v>
      </c>
      <c r="F91">
        <v>1188</v>
      </c>
    </row>
    <row r="92" spans="1:6" x14ac:dyDescent="0.25">
      <c r="A92" t="s">
        <v>94</v>
      </c>
      <c r="B92" t="s">
        <v>13</v>
      </c>
      <c r="C92" t="s">
        <v>11</v>
      </c>
      <c r="D92">
        <v>8</v>
      </c>
      <c r="E92">
        <v>253</v>
      </c>
      <c r="F92">
        <v>2024</v>
      </c>
    </row>
    <row r="93" spans="1:6" x14ac:dyDescent="0.25">
      <c r="A93" t="s">
        <v>64</v>
      </c>
      <c r="B93" t="s">
        <v>13</v>
      </c>
      <c r="C93" t="s">
        <v>15</v>
      </c>
      <c r="D93">
        <v>1</v>
      </c>
      <c r="E93">
        <v>188</v>
      </c>
      <c r="F93">
        <v>188</v>
      </c>
    </row>
    <row r="94" spans="1:6" x14ac:dyDescent="0.25">
      <c r="A94" t="s">
        <v>95</v>
      </c>
      <c r="B94" t="s">
        <v>10</v>
      </c>
      <c r="C94" t="s">
        <v>15</v>
      </c>
      <c r="D94">
        <v>9</v>
      </c>
      <c r="E94">
        <v>134</v>
      </c>
      <c r="F94">
        <v>1206</v>
      </c>
    </row>
    <row r="95" spans="1:6" x14ac:dyDescent="0.25">
      <c r="A95" t="s">
        <v>37</v>
      </c>
      <c r="B95" t="s">
        <v>19</v>
      </c>
      <c r="C95" t="s">
        <v>11</v>
      </c>
      <c r="D95">
        <v>5</v>
      </c>
      <c r="E95">
        <v>388</v>
      </c>
      <c r="F95">
        <v>1940</v>
      </c>
    </row>
    <row r="96" spans="1:6" x14ac:dyDescent="0.25">
      <c r="A96" t="s">
        <v>96</v>
      </c>
      <c r="B96" t="s">
        <v>10</v>
      </c>
      <c r="C96" t="s">
        <v>27</v>
      </c>
      <c r="D96">
        <v>4</v>
      </c>
      <c r="E96">
        <v>242</v>
      </c>
      <c r="F96">
        <v>968</v>
      </c>
    </row>
    <row r="97" spans="1:6" x14ac:dyDescent="0.25">
      <c r="A97" t="s">
        <v>97</v>
      </c>
      <c r="B97" t="s">
        <v>10</v>
      </c>
      <c r="C97" t="s">
        <v>11</v>
      </c>
      <c r="D97">
        <v>3</v>
      </c>
      <c r="E97">
        <v>284</v>
      </c>
      <c r="F97">
        <v>852</v>
      </c>
    </row>
    <row r="98" spans="1:6" x14ac:dyDescent="0.25">
      <c r="A98" t="s">
        <v>96</v>
      </c>
      <c r="B98" t="s">
        <v>19</v>
      </c>
      <c r="C98" t="s">
        <v>8</v>
      </c>
      <c r="D98">
        <v>2</v>
      </c>
      <c r="E98">
        <v>361</v>
      </c>
      <c r="F98">
        <v>722</v>
      </c>
    </row>
    <row r="99" spans="1:6" x14ac:dyDescent="0.25">
      <c r="A99" t="s">
        <v>98</v>
      </c>
      <c r="B99" t="s">
        <v>10</v>
      </c>
      <c r="C99" t="s">
        <v>15</v>
      </c>
      <c r="D99">
        <v>3</v>
      </c>
      <c r="E99">
        <v>398</v>
      </c>
      <c r="F99">
        <v>1194</v>
      </c>
    </row>
    <row r="100" spans="1:6" x14ac:dyDescent="0.25">
      <c r="A100" t="s">
        <v>99</v>
      </c>
      <c r="B100" t="s">
        <v>7</v>
      </c>
      <c r="C100" t="s">
        <v>27</v>
      </c>
      <c r="D100">
        <v>3</v>
      </c>
      <c r="E100">
        <v>226</v>
      </c>
      <c r="F100">
        <v>678</v>
      </c>
    </row>
    <row r="101" spans="1:6" x14ac:dyDescent="0.25">
      <c r="A101" t="s">
        <v>100</v>
      </c>
      <c r="B101" t="s">
        <v>17</v>
      </c>
      <c r="C101" t="s">
        <v>11</v>
      </c>
      <c r="D101">
        <v>7</v>
      </c>
      <c r="E101">
        <v>465</v>
      </c>
      <c r="F101">
        <v>3255</v>
      </c>
    </row>
    <row r="102" spans="1:6" x14ac:dyDescent="0.25">
      <c r="A102" t="s">
        <v>101</v>
      </c>
      <c r="B102" t="s">
        <v>10</v>
      </c>
      <c r="C102" t="s">
        <v>27</v>
      </c>
      <c r="D102">
        <v>4</v>
      </c>
      <c r="E102">
        <v>476</v>
      </c>
      <c r="F102">
        <v>1904</v>
      </c>
    </row>
    <row r="103" spans="1:6" x14ac:dyDescent="0.25">
      <c r="A103" t="s">
        <v>102</v>
      </c>
      <c r="B103" t="s">
        <v>10</v>
      </c>
      <c r="C103" t="s">
        <v>27</v>
      </c>
      <c r="D103">
        <v>3</v>
      </c>
      <c r="E103">
        <v>234</v>
      </c>
      <c r="F103">
        <v>702</v>
      </c>
    </row>
    <row r="104" spans="1:6" x14ac:dyDescent="0.25">
      <c r="A104" t="s">
        <v>103</v>
      </c>
      <c r="B104" t="s">
        <v>10</v>
      </c>
      <c r="C104" t="s">
        <v>11</v>
      </c>
      <c r="D104">
        <v>7</v>
      </c>
      <c r="E104">
        <v>360</v>
      </c>
      <c r="F104">
        <v>2520</v>
      </c>
    </row>
    <row r="105" spans="1:6" x14ac:dyDescent="0.25">
      <c r="A105" t="s">
        <v>104</v>
      </c>
      <c r="B105" t="s">
        <v>13</v>
      </c>
      <c r="C105" t="s">
        <v>15</v>
      </c>
      <c r="D105">
        <v>8</v>
      </c>
      <c r="E105">
        <v>467</v>
      </c>
      <c r="F105">
        <v>3736</v>
      </c>
    </row>
    <row r="106" spans="1:6" x14ac:dyDescent="0.25">
      <c r="A106" t="s">
        <v>105</v>
      </c>
      <c r="B106" t="s">
        <v>13</v>
      </c>
      <c r="C106" t="s">
        <v>27</v>
      </c>
      <c r="D106">
        <v>8</v>
      </c>
      <c r="E106">
        <v>350</v>
      </c>
      <c r="F106">
        <v>2800</v>
      </c>
    </row>
    <row r="107" spans="1:6" x14ac:dyDescent="0.25">
      <c r="A107" t="s">
        <v>106</v>
      </c>
      <c r="B107" t="s">
        <v>7</v>
      </c>
      <c r="C107" t="s">
        <v>27</v>
      </c>
      <c r="D107">
        <v>10</v>
      </c>
      <c r="E107">
        <v>441</v>
      </c>
      <c r="F107">
        <v>4410</v>
      </c>
    </row>
    <row r="108" spans="1:6" x14ac:dyDescent="0.25">
      <c r="A108" t="s">
        <v>31</v>
      </c>
      <c r="B108" t="s">
        <v>7</v>
      </c>
      <c r="C108" t="s">
        <v>8</v>
      </c>
      <c r="D108">
        <v>1</v>
      </c>
      <c r="E108">
        <v>410</v>
      </c>
      <c r="F108">
        <v>410</v>
      </c>
    </row>
    <row r="109" spans="1:6" x14ac:dyDescent="0.25">
      <c r="A109" t="s">
        <v>107</v>
      </c>
      <c r="B109" t="s">
        <v>10</v>
      </c>
      <c r="C109" t="s">
        <v>27</v>
      </c>
      <c r="D109">
        <v>9</v>
      </c>
      <c r="E109">
        <v>58</v>
      </c>
      <c r="F109">
        <v>522</v>
      </c>
    </row>
    <row r="110" spans="1:6" x14ac:dyDescent="0.25">
      <c r="A110" t="s">
        <v>108</v>
      </c>
      <c r="B110" t="s">
        <v>19</v>
      </c>
      <c r="C110" t="s">
        <v>27</v>
      </c>
      <c r="D110">
        <v>9</v>
      </c>
      <c r="E110">
        <v>288</v>
      </c>
      <c r="F110">
        <v>2592</v>
      </c>
    </row>
    <row r="111" spans="1:6" x14ac:dyDescent="0.25">
      <c r="A111" t="s">
        <v>109</v>
      </c>
      <c r="B111" t="s">
        <v>10</v>
      </c>
      <c r="C111" t="s">
        <v>15</v>
      </c>
      <c r="D111">
        <v>3</v>
      </c>
      <c r="E111">
        <v>58</v>
      </c>
      <c r="F111">
        <v>174</v>
      </c>
    </row>
    <row r="112" spans="1:6" x14ac:dyDescent="0.25">
      <c r="A112" t="s">
        <v>110</v>
      </c>
      <c r="B112" t="s">
        <v>10</v>
      </c>
      <c r="C112" t="s">
        <v>27</v>
      </c>
      <c r="D112">
        <v>8</v>
      </c>
      <c r="E112">
        <v>331</v>
      </c>
      <c r="F112">
        <v>2648</v>
      </c>
    </row>
    <row r="113" spans="1:6" x14ac:dyDescent="0.25">
      <c r="A113" t="s">
        <v>111</v>
      </c>
      <c r="B113" t="s">
        <v>7</v>
      </c>
      <c r="C113" t="s">
        <v>11</v>
      </c>
      <c r="D113">
        <v>9</v>
      </c>
      <c r="E113">
        <v>387</v>
      </c>
      <c r="F113">
        <v>3483</v>
      </c>
    </row>
    <row r="114" spans="1:6" x14ac:dyDescent="0.25">
      <c r="A114" t="s">
        <v>112</v>
      </c>
      <c r="B114" t="s">
        <v>7</v>
      </c>
      <c r="C114" t="s">
        <v>11</v>
      </c>
      <c r="D114">
        <v>4</v>
      </c>
      <c r="E114">
        <v>323</v>
      </c>
      <c r="F114">
        <v>1292</v>
      </c>
    </row>
    <row r="115" spans="1:6" x14ac:dyDescent="0.25">
      <c r="A115" t="s">
        <v>113</v>
      </c>
      <c r="B115" t="s">
        <v>13</v>
      </c>
      <c r="C115" t="s">
        <v>8</v>
      </c>
      <c r="D115">
        <v>3</v>
      </c>
      <c r="E115">
        <v>403</v>
      </c>
      <c r="F115">
        <v>1209</v>
      </c>
    </row>
    <row r="116" spans="1:6" x14ac:dyDescent="0.25">
      <c r="A116" t="s">
        <v>114</v>
      </c>
      <c r="B116" t="s">
        <v>7</v>
      </c>
      <c r="C116" t="s">
        <v>11</v>
      </c>
      <c r="D116">
        <v>6</v>
      </c>
      <c r="E116">
        <v>72</v>
      </c>
      <c r="F116">
        <v>432</v>
      </c>
    </row>
    <row r="117" spans="1:6" x14ac:dyDescent="0.25">
      <c r="A117" t="s">
        <v>22</v>
      </c>
      <c r="B117" t="s">
        <v>7</v>
      </c>
      <c r="C117" t="s">
        <v>15</v>
      </c>
      <c r="D117">
        <v>4</v>
      </c>
      <c r="E117">
        <v>287</v>
      </c>
      <c r="F117">
        <v>1148</v>
      </c>
    </row>
    <row r="118" spans="1:6" x14ac:dyDescent="0.25">
      <c r="A118" t="s">
        <v>115</v>
      </c>
      <c r="B118" t="s">
        <v>7</v>
      </c>
      <c r="C118" t="s">
        <v>27</v>
      </c>
      <c r="D118">
        <v>7</v>
      </c>
      <c r="E118">
        <v>204</v>
      </c>
      <c r="F118">
        <v>1428</v>
      </c>
    </row>
    <row r="119" spans="1:6" x14ac:dyDescent="0.25">
      <c r="A119" t="s">
        <v>116</v>
      </c>
      <c r="B119" t="s">
        <v>7</v>
      </c>
      <c r="C119" t="s">
        <v>11</v>
      </c>
      <c r="D119">
        <v>5</v>
      </c>
      <c r="E119">
        <v>103</v>
      </c>
      <c r="F119">
        <v>515</v>
      </c>
    </row>
    <row r="120" spans="1:6" x14ac:dyDescent="0.25">
      <c r="A120" t="s">
        <v>117</v>
      </c>
      <c r="B120" t="s">
        <v>17</v>
      </c>
      <c r="C120" t="s">
        <v>15</v>
      </c>
      <c r="D120">
        <v>1</v>
      </c>
      <c r="E120">
        <v>178</v>
      </c>
      <c r="F120">
        <v>178</v>
      </c>
    </row>
    <row r="121" spans="1:6" x14ac:dyDescent="0.25">
      <c r="A121" t="s">
        <v>118</v>
      </c>
      <c r="B121" t="s">
        <v>10</v>
      </c>
      <c r="C121" t="s">
        <v>11</v>
      </c>
      <c r="D121">
        <v>6</v>
      </c>
      <c r="E121">
        <v>198</v>
      </c>
      <c r="F121">
        <v>1188</v>
      </c>
    </row>
    <row r="122" spans="1:6" x14ac:dyDescent="0.25">
      <c r="A122" t="s">
        <v>119</v>
      </c>
      <c r="B122" t="s">
        <v>7</v>
      </c>
      <c r="C122" t="s">
        <v>15</v>
      </c>
      <c r="D122">
        <v>2</v>
      </c>
      <c r="E122">
        <v>301</v>
      </c>
      <c r="F122">
        <v>602</v>
      </c>
    </row>
    <row r="123" spans="1:6" x14ac:dyDescent="0.25">
      <c r="A123" t="s">
        <v>120</v>
      </c>
      <c r="B123" t="s">
        <v>10</v>
      </c>
      <c r="C123" t="s">
        <v>15</v>
      </c>
      <c r="D123">
        <v>1</v>
      </c>
      <c r="E123">
        <v>369</v>
      </c>
      <c r="F123">
        <v>369</v>
      </c>
    </row>
    <row r="124" spans="1:6" x14ac:dyDescent="0.25">
      <c r="A124" t="s">
        <v>121</v>
      </c>
      <c r="B124" t="s">
        <v>7</v>
      </c>
      <c r="C124" t="s">
        <v>15</v>
      </c>
      <c r="D124">
        <v>6</v>
      </c>
      <c r="E124">
        <v>135</v>
      </c>
      <c r="F124">
        <v>810</v>
      </c>
    </row>
    <row r="125" spans="1:6" x14ac:dyDescent="0.25">
      <c r="A125" t="s">
        <v>122</v>
      </c>
      <c r="B125" t="s">
        <v>19</v>
      </c>
      <c r="C125" t="s">
        <v>15</v>
      </c>
      <c r="D125">
        <v>9</v>
      </c>
      <c r="E125">
        <v>381</v>
      </c>
      <c r="F125">
        <v>3429</v>
      </c>
    </row>
    <row r="126" spans="1:6" x14ac:dyDescent="0.25">
      <c r="A126" t="s">
        <v>123</v>
      </c>
      <c r="B126" t="s">
        <v>19</v>
      </c>
      <c r="C126" t="s">
        <v>15</v>
      </c>
      <c r="D126">
        <v>10</v>
      </c>
      <c r="E126">
        <v>352</v>
      </c>
      <c r="F126">
        <v>3520</v>
      </c>
    </row>
    <row r="127" spans="1:6" x14ac:dyDescent="0.25">
      <c r="A127" t="s">
        <v>124</v>
      </c>
      <c r="B127" t="s">
        <v>10</v>
      </c>
      <c r="C127" t="s">
        <v>11</v>
      </c>
      <c r="D127">
        <v>1</v>
      </c>
      <c r="E127">
        <v>148</v>
      </c>
      <c r="F127">
        <v>148</v>
      </c>
    </row>
    <row r="128" spans="1:6" x14ac:dyDescent="0.25">
      <c r="A128" t="s">
        <v>125</v>
      </c>
      <c r="B128" t="s">
        <v>19</v>
      </c>
      <c r="C128" t="s">
        <v>8</v>
      </c>
      <c r="D128">
        <v>2</v>
      </c>
      <c r="E128">
        <v>134</v>
      </c>
      <c r="F128">
        <v>268</v>
      </c>
    </row>
    <row r="129" spans="1:6" x14ac:dyDescent="0.25">
      <c r="A129" t="s">
        <v>126</v>
      </c>
      <c r="B129" t="s">
        <v>17</v>
      </c>
      <c r="C129" t="s">
        <v>15</v>
      </c>
      <c r="D129">
        <v>7</v>
      </c>
      <c r="E129">
        <v>288</v>
      </c>
      <c r="F129">
        <v>2016</v>
      </c>
    </row>
    <row r="130" spans="1:6" x14ac:dyDescent="0.25">
      <c r="A130" t="s">
        <v>127</v>
      </c>
      <c r="B130" t="s">
        <v>10</v>
      </c>
      <c r="C130" t="s">
        <v>11</v>
      </c>
      <c r="D130">
        <v>8</v>
      </c>
      <c r="E130">
        <v>199</v>
      </c>
      <c r="F130">
        <v>1592</v>
      </c>
    </row>
    <row r="131" spans="1:6" x14ac:dyDescent="0.25">
      <c r="A131" t="s">
        <v>128</v>
      </c>
      <c r="B131" t="s">
        <v>19</v>
      </c>
      <c r="C131" t="s">
        <v>8</v>
      </c>
      <c r="D131">
        <v>1</v>
      </c>
      <c r="E131">
        <v>61</v>
      </c>
      <c r="F131">
        <v>61</v>
      </c>
    </row>
    <row r="132" spans="1:6" x14ac:dyDescent="0.25">
      <c r="A132" t="s">
        <v>129</v>
      </c>
      <c r="B132" t="s">
        <v>10</v>
      </c>
      <c r="C132" t="s">
        <v>15</v>
      </c>
      <c r="D132">
        <v>6</v>
      </c>
      <c r="E132">
        <v>232</v>
      </c>
      <c r="F132">
        <v>1392</v>
      </c>
    </row>
    <row r="133" spans="1:6" x14ac:dyDescent="0.25">
      <c r="A133" t="s">
        <v>130</v>
      </c>
      <c r="B133" t="s">
        <v>13</v>
      </c>
      <c r="C133" t="s">
        <v>8</v>
      </c>
      <c r="D133">
        <v>6</v>
      </c>
      <c r="E133">
        <v>225</v>
      </c>
      <c r="F133">
        <v>1350</v>
      </c>
    </row>
    <row r="134" spans="1:6" x14ac:dyDescent="0.25">
      <c r="A134" t="s">
        <v>131</v>
      </c>
      <c r="B134" t="s">
        <v>10</v>
      </c>
      <c r="C134" t="s">
        <v>11</v>
      </c>
      <c r="D134">
        <v>7</v>
      </c>
      <c r="E134">
        <v>235</v>
      </c>
      <c r="F134">
        <v>1645</v>
      </c>
    </row>
    <row r="135" spans="1:6" x14ac:dyDescent="0.25">
      <c r="A135" t="s">
        <v>132</v>
      </c>
      <c r="B135" t="s">
        <v>17</v>
      </c>
      <c r="C135" t="s">
        <v>11</v>
      </c>
      <c r="D135">
        <v>1</v>
      </c>
      <c r="E135">
        <v>313</v>
      </c>
      <c r="F135">
        <v>313</v>
      </c>
    </row>
    <row r="136" spans="1:6" x14ac:dyDescent="0.25">
      <c r="A136" t="s">
        <v>133</v>
      </c>
      <c r="B136" t="s">
        <v>19</v>
      </c>
      <c r="C136" t="s">
        <v>8</v>
      </c>
      <c r="D136">
        <v>6</v>
      </c>
      <c r="E136">
        <v>356</v>
      </c>
      <c r="F136">
        <v>2136</v>
      </c>
    </row>
    <row r="137" spans="1:6" x14ac:dyDescent="0.25">
      <c r="A137" t="s">
        <v>134</v>
      </c>
      <c r="B137" t="s">
        <v>7</v>
      </c>
      <c r="C137" t="s">
        <v>11</v>
      </c>
      <c r="D137">
        <v>2</v>
      </c>
      <c r="E137">
        <v>178</v>
      </c>
      <c r="F137">
        <v>356</v>
      </c>
    </row>
    <row r="138" spans="1:6" x14ac:dyDescent="0.25">
      <c r="A138" t="s">
        <v>135</v>
      </c>
      <c r="B138" t="s">
        <v>13</v>
      </c>
      <c r="C138" t="s">
        <v>11</v>
      </c>
      <c r="D138">
        <v>10</v>
      </c>
      <c r="E138">
        <v>484</v>
      </c>
      <c r="F138">
        <v>4840</v>
      </c>
    </row>
    <row r="139" spans="1:6" x14ac:dyDescent="0.25">
      <c r="A139" t="s">
        <v>136</v>
      </c>
      <c r="B139" t="s">
        <v>10</v>
      </c>
      <c r="C139" t="s">
        <v>11</v>
      </c>
      <c r="D139">
        <v>6</v>
      </c>
      <c r="E139">
        <v>284</v>
      </c>
      <c r="F139">
        <v>1704</v>
      </c>
    </row>
    <row r="140" spans="1:6" x14ac:dyDescent="0.25">
      <c r="A140" t="s">
        <v>124</v>
      </c>
      <c r="B140" t="s">
        <v>13</v>
      </c>
      <c r="C140" t="s">
        <v>11</v>
      </c>
      <c r="D140">
        <v>7</v>
      </c>
      <c r="E140">
        <v>487</v>
      </c>
      <c r="F140">
        <v>3409</v>
      </c>
    </row>
    <row r="141" spans="1:6" x14ac:dyDescent="0.25">
      <c r="A141" t="s">
        <v>55</v>
      </c>
      <c r="B141" t="s">
        <v>10</v>
      </c>
      <c r="C141" t="s">
        <v>27</v>
      </c>
      <c r="D141">
        <v>9</v>
      </c>
      <c r="E141">
        <v>325</v>
      </c>
      <c r="F141">
        <v>2925</v>
      </c>
    </row>
    <row r="142" spans="1:6" x14ac:dyDescent="0.25">
      <c r="A142" t="s">
        <v>137</v>
      </c>
      <c r="B142" t="s">
        <v>13</v>
      </c>
      <c r="C142" t="s">
        <v>27</v>
      </c>
      <c r="D142">
        <v>4</v>
      </c>
      <c r="E142">
        <v>428</v>
      </c>
      <c r="F142">
        <v>1712</v>
      </c>
    </row>
    <row r="143" spans="1:6" x14ac:dyDescent="0.25">
      <c r="A143" t="s">
        <v>138</v>
      </c>
      <c r="B143" t="s">
        <v>13</v>
      </c>
      <c r="C143" t="s">
        <v>15</v>
      </c>
      <c r="D143">
        <v>4</v>
      </c>
      <c r="E143">
        <v>222</v>
      </c>
      <c r="F143">
        <v>888</v>
      </c>
    </row>
    <row r="144" spans="1:6" x14ac:dyDescent="0.25">
      <c r="A144" t="s">
        <v>110</v>
      </c>
      <c r="B144" t="s">
        <v>10</v>
      </c>
      <c r="C144" t="s">
        <v>8</v>
      </c>
      <c r="D144">
        <v>6</v>
      </c>
      <c r="E144">
        <v>202</v>
      </c>
      <c r="F144">
        <v>1212</v>
      </c>
    </row>
    <row r="145" spans="1:6" x14ac:dyDescent="0.25">
      <c r="A145" t="s">
        <v>20</v>
      </c>
      <c r="B145" t="s">
        <v>19</v>
      </c>
      <c r="C145" t="s">
        <v>8</v>
      </c>
      <c r="D145">
        <v>6</v>
      </c>
      <c r="E145">
        <v>282</v>
      </c>
      <c r="F145">
        <v>1692</v>
      </c>
    </row>
    <row r="146" spans="1:6" x14ac:dyDescent="0.25">
      <c r="A146" t="s">
        <v>136</v>
      </c>
      <c r="B146" t="s">
        <v>13</v>
      </c>
      <c r="C146" t="s">
        <v>11</v>
      </c>
      <c r="D146">
        <v>4</v>
      </c>
      <c r="E146">
        <v>116</v>
      </c>
      <c r="F146">
        <v>464</v>
      </c>
    </row>
    <row r="147" spans="1:6" x14ac:dyDescent="0.25">
      <c r="A147" t="s">
        <v>139</v>
      </c>
      <c r="B147" t="s">
        <v>19</v>
      </c>
      <c r="C147" t="s">
        <v>15</v>
      </c>
      <c r="D147">
        <v>4</v>
      </c>
      <c r="E147">
        <v>368</v>
      </c>
      <c r="F147">
        <v>1472</v>
      </c>
    </row>
    <row r="148" spans="1:6" x14ac:dyDescent="0.25">
      <c r="A148" t="s">
        <v>140</v>
      </c>
      <c r="B148" t="s">
        <v>19</v>
      </c>
      <c r="C148" t="s">
        <v>27</v>
      </c>
      <c r="D148">
        <v>7</v>
      </c>
      <c r="E148">
        <v>488</v>
      </c>
      <c r="F148">
        <v>3416</v>
      </c>
    </row>
    <row r="149" spans="1:6" x14ac:dyDescent="0.25">
      <c r="A149" t="s">
        <v>141</v>
      </c>
      <c r="B149" t="s">
        <v>10</v>
      </c>
      <c r="C149" t="s">
        <v>27</v>
      </c>
      <c r="D149">
        <v>1</v>
      </c>
      <c r="E149">
        <v>439</v>
      </c>
      <c r="F149">
        <v>439</v>
      </c>
    </row>
    <row r="150" spans="1:6" x14ac:dyDescent="0.25">
      <c r="A150" t="s">
        <v>142</v>
      </c>
      <c r="B150" t="s">
        <v>17</v>
      </c>
      <c r="C150" t="s">
        <v>15</v>
      </c>
      <c r="D150">
        <v>5</v>
      </c>
      <c r="E150">
        <v>94</v>
      </c>
      <c r="F150">
        <v>470</v>
      </c>
    </row>
    <row r="151" spans="1:6" x14ac:dyDescent="0.25">
      <c r="A151" t="s">
        <v>143</v>
      </c>
      <c r="B151" t="s">
        <v>13</v>
      </c>
      <c r="C151" t="s">
        <v>27</v>
      </c>
      <c r="D151">
        <v>1</v>
      </c>
      <c r="E151">
        <v>143</v>
      </c>
      <c r="F151">
        <v>143</v>
      </c>
    </row>
    <row r="152" spans="1:6" x14ac:dyDescent="0.25">
      <c r="A152" t="s">
        <v>74</v>
      </c>
      <c r="B152" t="s">
        <v>17</v>
      </c>
      <c r="C152" t="s">
        <v>27</v>
      </c>
      <c r="D152">
        <v>1</v>
      </c>
      <c r="E152">
        <v>364</v>
      </c>
      <c r="F152">
        <v>364</v>
      </c>
    </row>
    <row r="153" spans="1:6" x14ac:dyDescent="0.25">
      <c r="A153" t="s">
        <v>144</v>
      </c>
      <c r="B153" t="s">
        <v>17</v>
      </c>
      <c r="C153" t="s">
        <v>27</v>
      </c>
      <c r="D153">
        <v>9</v>
      </c>
      <c r="E153">
        <v>380</v>
      </c>
      <c r="F153">
        <v>3420</v>
      </c>
    </row>
    <row r="154" spans="1:6" x14ac:dyDescent="0.25">
      <c r="A154" t="s">
        <v>137</v>
      </c>
      <c r="B154" t="s">
        <v>10</v>
      </c>
      <c r="C154" t="s">
        <v>27</v>
      </c>
      <c r="D154">
        <v>8</v>
      </c>
      <c r="E154">
        <v>382</v>
      </c>
      <c r="F154">
        <v>3056</v>
      </c>
    </row>
    <row r="155" spans="1:6" x14ac:dyDescent="0.25">
      <c r="A155" t="s">
        <v>145</v>
      </c>
      <c r="B155" t="s">
        <v>7</v>
      </c>
      <c r="C155" t="s">
        <v>11</v>
      </c>
      <c r="D155">
        <v>1</v>
      </c>
      <c r="E155">
        <v>214</v>
      </c>
      <c r="F155">
        <v>214</v>
      </c>
    </row>
    <row r="156" spans="1:6" x14ac:dyDescent="0.25">
      <c r="A156" t="s">
        <v>146</v>
      </c>
      <c r="B156" t="s">
        <v>7</v>
      </c>
      <c r="C156" t="s">
        <v>11</v>
      </c>
      <c r="D156">
        <v>5</v>
      </c>
      <c r="E156">
        <v>380</v>
      </c>
      <c r="F156">
        <v>1900</v>
      </c>
    </row>
    <row r="157" spans="1:6" x14ac:dyDescent="0.25">
      <c r="A157" t="s">
        <v>84</v>
      </c>
      <c r="B157" t="s">
        <v>10</v>
      </c>
      <c r="C157" t="s">
        <v>8</v>
      </c>
      <c r="D157">
        <v>3</v>
      </c>
      <c r="E157">
        <v>96</v>
      </c>
      <c r="F157">
        <v>288</v>
      </c>
    </row>
    <row r="158" spans="1:6" x14ac:dyDescent="0.25">
      <c r="A158" t="s">
        <v>67</v>
      </c>
      <c r="B158" t="s">
        <v>7</v>
      </c>
      <c r="C158" t="s">
        <v>27</v>
      </c>
      <c r="D158">
        <v>2</v>
      </c>
      <c r="E158">
        <v>257</v>
      </c>
      <c r="F158">
        <v>514</v>
      </c>
    </row>
    <row r="159" spans="1:6" x14ac:dyDescent="0.25">
      <c r="A159" t="s">
        <v>63</v>
      </c>
      <c r="B159" t="s">
        <v>17</v>
      </c>
      <c r="C159" t="s">
        <v>27</v>
      </c>
      <c r="D159">
        <v>10</v>
      </c>
      <c r="E159">
        <v>329</v>
      </c>
      <c r="F159">
        <v>3290</v>
      </c>
    </row>
    <row r="160" spans="1:6" x14ac:dyDescent="0.25">
      <c r="A160" t="s">
        <v>147</v>
      </c>
      <c r="B160" t="s">
        <v>17</v>
      </c>
      <c r="C160" t="s">
        <v>15</v>
      </c>
      <c r="D160">
        <v>7</v>
      </c>
      <c r="E160">
        <v>111</v>
      </c>
      <c r="F160">
        <v>777</v>
      </c>
    </row>
    <row r="161" spans="1:6" x14ac:dyDescent="0.25">
      <c r="A161" t="s">
        <v>121</v>
      </c>
      <c r="B161" t="s">
        <v>10</v>
      </c>
      <c r="C161" t="s">
        <v>15</v>
      </c>
      <c r="D161">
        <v>7</v>
      </c>
      <c r="E161">
        <v>76</v>
      </c>
      <c r="F161">
        <v>532</v>
      </c>
    </row>
    <row r="162" spans="1:6" x14ac:dyDescent="0.25">
      <c r="A162" t="s">
        <v>148</v>
      </c>
      <c r="B162" t="s">
        <v>7</v>
      </c>
      <c r="C162" t="s">
        <v>11</v>
      </c>
      <c r="D162">
        <v>8</v>
      </c>
      <c r="E162">
        <v>229</v>
      </c>
      <c r="F162">
        <v>1832</v>
      </c>
    </row>
    <row r="163" spans="1:6" x14ac:dyDescent="0.25">
      <c r="A163" t="s">
        <v>149</v>
      </c>
      <c r="B163" t="s">
        <v>13</v>
      </c>
      <c r="C163" t="s">
        <v>8</v>
      </c>
      <c r="D163">
        <v>6</v>
      </c>
      <c r="E163">
        <v>295</v>
      </c>
      <c r="F163">
        <v>1770</v>
      </c>
    </row>
    <row r="164" spans="1:6" x14ac:dyDescent="0.25">
      <c r="A164" t="s">
        <v>150</v>
      </c>
      <c r="B164" t="s">
        <v>19</v>
      </c>
      <c r="C164" t="s">
        <v>15</v>
      </c>
      <c r="D164">
        <v>2</v>
      </c>
      <c r="E164">
        <v>445</v>
      </c>
      <c r="F164">
        <v>890</v>
      </c>
    </row>
    <row r="165" spans="1:6" x14ac:dyDescent="0.25">
      <c r="A165" t="s">
        <v>151</v>
      </c>
      <c r="B165" t="s">
        <v>17</v>
      </c>
      <c r="C165" t="s">
        <v>15</v>
      </c>
      <c r="D165">
        <v>7</v>
      </c>
      <c r="E165">
        <v>375</v>
      </c>
      <c r="F165">
        <v>2625</v>
      </c>
    </row>
    <row r="166" spans="1:6" x14ac:dyDescent="0.25">
      <c r="A166" t="s">
        <v>152</v>
      </c>
      <c r="B166" t="s">
        <v>13</v>
      </c>
      <c r="C166" t="s">
        <v>8</v>
      </c>
      <c r="D166">
        <v>3</v>
      </c>
      <c r="E166">
        <v>314</v>
      </c>
      <c r="F166">
        <v>942</v>
      </c>
    </row>
    <row r="167" spans="1:6" x14ac:dyDescent="0.25">
      <c r="A167" t="s">
        <v>153</v>
      </c>
      <c r="B167" t="s">
        <v>13</v>
      </c>
      <c r="C167" t="s">
        <v>27</v>
      </c>
      <c r="D167">
        <v>2</v>
      </c>
      <c r="E167">
        <v>341</v>
      </c>
      <c r="F167">
        <v>682</v>
      </c>
    </row>
    <row r="168" spans="1:6" x14ac:dyDescent="0.25">
      <c r="A168" t="s">
        <v>154</v>
      </c>
      <c r="B168" t="s">
        <v>17</v>
      </c>
      <c r="C168" t="s">
        <v>15</v>
      </c>
      <c r="D168">
        <v>9</v>
      </c>
      <c r="E168">
        <v>451</v>
      </c>
      <c r="F168">
        <v>4059</v>
      </c>
    </row>
    <row r="169" spans="1:6" x14ac:dyDescent="0.25">
      <c r="A169" t="s">
        <v>155</v>
      </c>
      <c r="B169" t="s">
        <v>19</v>
      </c>
      <c r="C169" t="s">
        <v>27</v>
      </c>
      <c r="D169">
        <v>1</v>
      </c>
      <c r="E169">
        <v>235</v>
      </c>
      <c r="F169">
        <v>235</v>
      </c>
    </row>
    <row r="170" spans="1:6" x14ac:dyDescent="0.25">
      <c r="A170" t="s">
        <v>156</v>
      </c>
      <c r="B170" t="s">
        <v>7</v>
      </c>
      <c r="C170" t="s">
        <v>8</v>
      </c>
      <c r="D170">
        <v>10</v>
      </c>
      <c r="E170">
        <v>310</v>
      </c>
      <c r="F170">
        <v>3100</v>
      </c>
    </row>
    <row r="171" spans="1:6" x14ac:dyDescent="0.25">
      <c r="A171" t="s">
        <v>157</v>
      </c>
      <c r="B171" t="s">
        <v>13</v>
      </c>
      <c r="C171" t="s">
        <v>8</v>
      </c>
      <c r="D171">
        <v>5</v>
      </c>
      <c r="E171">
        <v>379</v>
      </c>
      <c r="F171">
        <v>1895</v>
      </c>
    </row>
    <row r="172" spans="1:6" x14ac:dyDescent="0.25">
      <c r="A172" t="s">
        <v>158</v>
      </c>
      <c r="B172" t="s">
        <v>17</v>
      </c>
      <c r="C172" t="s">
        <v>15</v>
      </c>
      <c r="D172">
        <v>1</v>
      </c>
      <c r="E172">
        <v>346</v>
      </c>
      <c r="F172">
        <v>346</v>
      </c>
    </row>
    <row r="173" spans="1:6" x14ac:dyDescent="0.25">
      <c r="A173" t="s">
        <v>50</v>
      </c>
      <c r="B173" t="s">
        <v>19</v>
      </c>
      <c r="C173" t="s">
        <v>27</v>
      </c>
      <c r="D173">
        <v>4</v>
      </c>
      <c r="E173">
        <v>201</v>
      </c>
      <c r="F173">
        <v>804</v>
      </c>
    </row>
    <row r="174" spans="1:6" x14ac:dyDescent="0.25">
      <c r="A174" t="s">
        <v>117</v>
      </c>
      <c r="B174" t="s">
        <v>17</v>
      </c>
      <c r="C174" t="s">
        <v>11</v>
      </c>
      <c r="D174">
        <v>8</v>
      </c>
      <c r="E174">
        <v>257</v>
      </c>
      <c r="F174">
        <v>2056</v>
      </c>
    </row>
    <row r="175" spans="1:6" x14ac:dyDescent="0.25">
      <c r="A175" t="s">
        <v>159</v>
      </c>
      <c r="B175" t="s">
        <v>7</v>
      </c>
      <c r="C175" t="s">
        <v>27</v>
      </c>
      <c r="D175">
        <v>9</v>
      </c>
      <c r="E175">
        <v>491</v>
      </c>
      <c r="F175">
        <v>4419</v>
      </c>
    </row>
    <row r="176" spans="1:6" x14ac:dyDescent="0.25">
      <c r="A176" t="s">
        <v>145</v>
      </c>
      <c r="B176" t="s">
        <v>13</v>
      </c>
      <c r="C176" t="s">
        <v>8</v>
      </c>
      <c r="D176">
        <v>8</v>
      </c>
      <c r="E176">
        <v>283</v>
      </c>
      <c r="F176">
        <v>2264</v>
      </c>
    </row>
    <row r="177" spans="1:6" x14ac:dyDescent="0.25">
      <c r="A177" t="s">
        <v>103</v>
      </c>
      <c r="B177" t="s">
        <v>10</v>
      </c>
      <c r="C177" t="s">
        <v>15</v>
      </c>
      <c r="D177">
        <v>10</v>
      </c>
      <c r="E177">
        <v>84</v>
      </c>
      <c r="F177">
        <v>840</v>
      </c>
    </row>
    <row r="178" spans="1:6" x14ac:dyDescent="0.25">
      <c r="A178" t="s">
        <v>160</v>
      </c>
      <c r="B178" t="s">
        <v>7</v>
      </c>
      <c r="C178" t="s">
        <v>11</v>
      </c>
      <c r="D178">
        <v>9</v>
      </c>
      <c r="E178">
        <v>149</v>
      </c>
      <c r="F178">
        <v>1341</v>
      </c>
    </row>
    <row r="179" spans="1:6" x14ac:dyDescent="0.25">
      <c r="A179" t="s">
        <v>161</v>
      </c>
      <c r="B179" t="s">
        <v>17</v>
      </c>
      <c r="C179" t="s">
        <v>8</v>
      </c>
      <c r="D179">
        <v>1</v>
      </c>
      <c r="E179">
        <v>244</v>
      </c>
      <c r="F179">
        <v>244</v>
      </c>
    </row>
    <row r="180" spans="1:6" x14ac:dyDescent="0.25">
      <c r="A180" t="s">
        <v>65</v>
      </c>
      <c r="B180" t="s">
        <v>10</v>
      </c>
      <c r="C180" t="s">
        <v>27</v>
      </c>
      <c r="D180">
        <v>6</v>
      </c>
      <c r="E180">
        <v>127</v>
      </c>
      <c r="F180">
        <v>762</v>
      </c>
    </row>
    <row r="181" spans="1:6" x14ac:dyDescent="0.25">
      <c r="A181" t="s">
        <v>162</v>
      </c>
      <c r="B181" t="s">
        <v>10</v>
      </c>
      <c r="C181" t="s">
        <v>11</v>
      </c>
      <c r="D181">
        <v>10</v>
      </c>
      <c r="E181">
        <v>264</v>
      </c>
      <c r="F181">
        <v>2640</v>
      </c>
    </row>
    <row r="182" spans="1:6" x14ac:dyDescent="0.25">
      <c r="A182" t="s">
        <v>163</v>
      </c>
      <c r="B182" t="s">
        <v>13</v>
      </c>
      <c r="C182" t="s">
        <v>15</v>
      </c>
      <c r="D182">
        <v>6</v>
      </c>
      <c r="E182">
        <v>223</v>
      </c>
      <c r="F182">
        <v>1338</v>
      </c>
    </row>
    <row r="183" spans="1:6" x14ac:dyDescent="0.25">
      <c r="A183" t="s">
        <v>91</v>
      </c>
      <c r="B183" t="s">
        <v>10</v>
      </c>
      <c r="C183" t="s">
        <v>27</v>
      </c>
      <c r="D183">
        <v>6</v>
      </c>
      <c r="E183">
        <v>150</v>
      </c>
      <c r="F183">
        <v>900</v>
      </c>
    </row>
    <row r="184" spans="1:6" x14ac:dyDescent="0.25">
      <c r="A184" t="s">
        <v>131</v>
      </c>
      <c r="B184" t="s">
        <v>13</v>
      </c>
      <c r="C184" t="s">
        <v>15</v>
      </c>
      <c r="D184">
        <v>1</v>
      </c>
      <c r="E184">
        <v>440</v>
      </c>
      <c r="F184">
        <v>440</v>
      </c>
    </row>
    <row r="185" spans="1:6" x14ac:dyDescent="0.25">
      <c r="A185" t="s">
        <v>164</v>
      </c>
      <c r="B185" t="s">
        <v>7</v>
      </c>
      <c r="C185" t="s">
        <v>15</v>
      </c>
      <c r="D185">
        <v>5</v>
      </c>
      <c r="E185">
        <v>187</v>
      </c>
      <c r="F185">
        <v>935</v>
      </c>
    </row>
    <row r="186" spans="1:6" x14ac:dyDescent="0.25">
      <c r="A186" t="s">
        <v>154</v>
      </c>
      <c r="B186" t="s">
        <v>19</v>
      </c>
      <c r="C186" t="s">
        <v>8</v>
      </c>
      <c r="D186">
        <v>5</v>
      </c>
      <c r="E186">
        <v>62</v>
      </c>
      <c r="F186">
        <v>310</v>
      </c>
    </row>
    <row r="187" spans="1:6" x14ac:dyDescent="0.25">
      <c r="A187" t="s">
        <v>165</v>
      </c>
      <c r="B187" t="s">
        <v>19</v>
      </c>
      <c r="C187" t="s">
        <v>8</v>
      </c>
      <c r="D187">
        <v>5</v>
      </c>
      <c r="E187">
        <v>465</v>
      </c>
      <c r="F187">
        <v>2325</v>
      </c>
    </row>
    <row r="188" spans="1:6" x14ac:dyDescent="0.25">
      <c r="A188" t="s">
        <v>166</v>
      </c>
      <c r="B188" t="s">
        <v>7</v>
      </c>
      <c r="C188" t="s">
        <v>27</v>
      </c>
      <c r="D188">
        <v>4</v>
      </c>
      <c r="E188">
        <v>384</v>
      </c>
      <c r="F188">
        <v>1536</v>
      </c>
    </row>
    <row r="189" spans="1:6" x14ac:dyDescent="0.25">
      <c r="A189" t="s">
        <v>60</v>
      </c>
      <c r="B189" t="s">
        <v>7</v>
      </c>
      <c r="C189" t="s">
        <v>27</v>
      </c>
      <c r="D189">
        <v>1</v>
      </c>
      <c r="E189">
        <v>358</v>
      </c>
      <c r="F189">
        <v>358</v>
      </c>
    </row>
    <row r="190" spans="1:6" x14ac:dyDescent="0.25">
      <c r="A190" t="s">
        <v>84</v>
      </c>
      <c r="B190" t="s">
        <v>7</v>
      </c>
      <c r="C190" t="s">
        <v>8</v>
      </c>
      <c r="D190">
        <v>6</v>
      </c>
      <c r="E190">
        <v>154</v>
      </c>
      <c r="F190">
        <v>924</v>
      </c>
    </row>
    <row r="191" spans="1:6" x14ac:dyDescent="0.25">
      <c r="A191" t="s">
        <v>167</v>
      </c>
      <c r="B191" t="s">
        <v>7</v>
      </c>
      <c r="C191" t="s">
        <v>15</v>
      </c>
      <c r="D191">
        <v>1</v>
      </c>
      <c r="E191">
        <v>294</v>
      </c>
      <c r="F191">
        <v>294</v>
      </c>
    </row>
    <row r="192" spans="1:6" x14ac:dyDescent="0.25">
      <c r="A192" t="s">
        <v>168</v>
      </c>
      <c r="B192" t="s">
        <v>10</v>
      </c>
      <c r="C192" t="s">
        <v>15</v>
      </c>
      <c r="D192">
        <v>3</v>
      </c>
      <c r="E192">
        <v>279</v>
      </c>
      <c r="F192">
        <v>837</v>
      </c>
    </row>
    <row r="193" spans="1:6" x14ac:dyDescent="0.25">
      <c r="A193" t="s">
        <v>169</v>
      </c>
      <c r="B193" t="s">
        <v>13</v>
      </c>
      <c r="C193" t="s">
        <v>27</v>
      </c>
      <c r="D193">
        <v>2</v>
      </c>
      <c r="E193">
        <v>85</v>
      </c>
      <c r="F193">
        <v>170</v>
      </c>
    </row>
    <row r="194" spans="1:6" x14ac:dyDescent="0.25">
      <c r="A194" t="s">
        <v>57</v>
      </c>
      <c r="B194" t="s">
        <v>7</v>
      </c>
      <c r="C194" t="s">
        <v>8</v>
      </c>
      <c r="D194">
        <v>1</v>
      </c>
      <c r="E194">
        <v>327</v>
      </c>
      <c r="F194">
        <v>327</v>
      </c>
    </row>
    <row r="195" spans="1:6" x14ac:dyDescent="0.25">
      <c r="A195" t="s">
        <v>170</v>
      </c>
      <c r="B195" t="s">
        <v>10</v>
      </c>
      <c r="C195" t="s">
        <v>11</v>
      </c>
      <c r="D195">
        <v>4</v>
      </c>
      <c r="E195">
        <v>398</v>
      </c>
      <c r="F195">
        <v>1592</v>
      </c>
    </row>
    <row r="196" spans="1:6" x14ac:dyDescent="0.25">
      <c r="A196" t="s">
        <v>117</v>
      </c>
      <c r="B196" t="s">
        <v>13</v>
      </c>
      <c r="C196" t="s">
        <v>11</v>
      </c>
      <c r="D196">
        <v>4</v>
      </c>
      <c r="E196">
        <v>437</v>
      </c>
      <c r="F196">
        <v>1748</v>
      </c>
    </row>
    <row r="197" spans="1:6" x14ac:dyDescent="0.25">
      <c r="A197" t="s">
        <v>171</v>
      </c>
      <c r="B197" t="s">
        <v>13</v>
      </c>
      <c r="C197" t="s">
        <v>15</v>
      </c>
      <c r="D197">
        <v>8</v>
      </c>
      <c r="E197">
        <v>235</v>
      </c>
      <c r="F197">
        <v>1880</v>
      </c>
    </row>
    <row r="198" spans="1:6" x14ac:dyDescent="0.25">
      <c r="A198" t="s">
        <v>153</v>
      </c>
      <c r="B198" t="s">
        <v>7</v>
      </c>
      <c r="C198" t="s">
        <v>11</v>
      </c>
      <c r="D198">
        <v>6</v>
      </c>
      <c r="E198">
        <v>303</v>
      </c>
      <c r="F198">
        <v>1818</v>
      </c>
    </row>
    <row r="199" spans="1:6" x14ac:dyDescent="0.25">
      <c r="A199" t="s">
        <v>172</v>
      </c>
      <c r="B199" t="s">
        <v>10</v>
      </c>
      <c r="C199" t="s">
        <v>8</v>
      </c>
      <c r="D199">
        <v>1</v>
      </c>
      <c r="E199">
        <v>300</v>
      </c>
      <c r="F199">
        <v>300</v>
      </c>
    </row>
    <row r="200" spans="1:6" x14ac:dyDescent="0.25">
      <c r="A200" t="s">
        <v>90</v>
      </c>
      <c r="B200" t="s">
        <v>10</v>
      </c>
      <c r="C200" t="s">
        <v>8</v>
      </c>
      <c r="D200">
        <v>7</v>
      </c>
      <c r="E200">
        <v>147</v>
      </c>
      <c r="F200">
        <v>1029</v>
      </c>
    </row>
    <row r="201" spans="1:6" x14ac:dyDescent="0.25">
      <c r="A201" t="s">
        <v>90</v>
      </c>
      <c r="B201" t="s">
        <v>17</v>
      </c>
      <c r="C201" t="s">
        <v>27</v>
      </c>
      <c r="D201">
        <v>3</v>
      </c>
      <c r="E201">
        <v>160</v>
      </c>
      <c r="F201">
        <v>480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5</v>
      </c>
      <c r="E2">
        <v>434</v>
      </c>
      <c r="F2">
        <v>2170</v>
      </c>
    </row>
    <row r="3" spans="1:6" x14ac:dyDescent="0.25">
      <c r="A3" t="s">
        <v>9</v>
      </c>
      <c r="B3" t="s">
        <v>10</v>
      </c>
      <c r="C3" t="s">
        <v>11</v>
      </c>
      <c r="D3">
        <v>5</v>
      </c>
      <c r="E3">
        <v>190</v>
      </c>
      <c r="F3">
        <v>950</v>
      </c>
    </row>
    <row r="4" spans="1:6" x14ac:dyDescent="0.25">
      <c r="A4" t="s">
        <v>12</v>
      </c>
      <c r="B4" t="s">
        <v>13</v>
      </c>
      <c r="C4" t="s">
        <v>11</v>
      </c>
      <c r="D4">
        <v>4</v>
      </c>
      <c r="E4">
        <v>261</v>
      </c>
      <c r="F4">
        <v>1044</v>
      </c>
    </row>
    <row r="5" spans="1:6" x14ac:dyDescent="0.25">
      <c r="A5" t="s">
        <v>14</v>
      </c>
      <c r="B5" t="s">
        <v>10</v>
      </c>
      <c r="C5" t="s">
        <v>15</v>
      </c>
      <c r="D5">
        <v>8</v>
      </c>
      <c r="E5">
        <v>448</v>
      </c>
      <c r="F5">
        <v>3584</v>
      </c>
    </row>
    <row r="6" spans="1:6" x14ac:dyDescent="0.25">
      <c r="A6" t="s">
        <v>16</v>
      </c>
      <c r="B6" t="s">
        <v>17</v>
      </c>
      <c r="C6" t="s">
        <v>15</v>
      </c>
      <c r="D6">
        <v>8</v>
      </c>
      <c r="E6">
        <v>57</v>
      </c>
      <c r="F6">
        <v>456</v>
      </c>
    </row>
    <row r="7" spans="1:6" x14ac:dyDescent="0.25">
      <c r="A7" t="s">
        <v>18</v>
      </c>
      <c r="B7" t="s">
        <v>19</v>
      </c>
      <c r="C7" t="s">
        <v>11</v>
      </c>
      <c r="D7">
        <v>6</v>
      </c>
      <c r="E7">
        <v>499</v>
      </c>
      <c r="F7">
        <v>2994</v>
      </c>
    </row>
    <row r="8" spans="1:6" x14ac:dyDescent="0.25">
      <c r="A8" t="s">
        <v>20</v>
      </c>
      <c r="B8" t="s">
        <v>10</v>
      </c>
      <c r="C8" t="s">
        <v>15</v>
      </c>
      <c r="D8">
        <v>8</v>
      </c>
      <c r="E8">
        <v>183</v>
      </c>
      <c r="F8">
        <v>1464</v>
      </c>
    </row>
    <row r="9" spans="1:6" x14ac:dyDescent="0.25">
      <c r="A9" t="s">
        <v>21</v>
      </c>
      <c r="B9" t="s">
        <v>10</v>
      </c>
      <c r="C9" t="s">
        <v>15</v>
      </c>
      <c r="D9">
        <v>6</v>
      </c>
      <c r="E9">
        <v>191</v>
      </c>
      <c r="F9">
        <v>1146</v>
      </c>
    </row>
    <row r="10" spans="1:6" x14ac:dyDescent="0.25">
      <c r="A10" t="s">
        <v>22</v>
      </c>
      <c r="B10" t="s">
        <v>19</v>
      </c>
      <c r="C10" t="s">
        <v>11</v>
      </c>
      <c r="D10">
        <v>4</v>
      </c>
      <c r="E10">
        <v>318</v>
      </c>
      <c r="F10">
        <v>1272</v>
      </c>
    </row>
    <row r="11" spans="1:6" x14ac:dyDescent="0.25">
      <c r="A11" t="s">
        <v>23</v>
      </c>
      <c r="B11" t="s">
        <v>13</v>
      </c>
      <c r="C11" t="s">
        <v>11</v>
      </c>
      <c r="D11">
        <v>2</v>
      </c>
      <c r="E11">
        <v>335</v>
      </c>
      <c r="F11">
        <v>670</v>
      </c>
    </row>
    <row r="12" spans="1:6" x14ac:dyDescent="0.25">
      <c r="A12" t="s">
        <v>24</v>
      </c>
      <c r="B12" t="s">
        <v>13</v>
      </c>
      <c r="C12" t="s">
        <v>15</v>
      </c>
      <c r="D12">
        <v>4</v>
      </c>
      <c r="E12">
        <v>350</v>
      </c>
      <c r="F12">
        <v>1400</v>
      </c>
    </row>
    <row r="13" spans="1:6" x14ac:dyDescent="0.25">
      <c r="A13" t="s">
        <v>25</v>
      </c>
      <c r="B13" t="s">
        <v>17</v>
      </c>
      <c r="C13" t="s">
        <v>15</v>
      </c>
      <c r="D13">
        <v>7</v>
      </c>
      <c r="E13">
        <v>278</v>
      </c>
      <c r="F13">
        <v>1946</v>
      </c>
    </row>
    <row r="14" spans="1:6" x14ac:dyDescent="0.25">
      <c r="A14" t="s">
        <v>26</v>
      </c>
      <c r="B14" t="s">
        <v>19</v>
      </c>
      <c r="C14" t="s">
        <v>27</v>
      </c>
      <c r="D14">
        <v>2</v>
      </c>
      <c r="E14">
        <v>133</v>
      </c>
      <c r="F14">
        <v>266</v>
      </c>
    </row>
    <row r="15" spans="1:6" x14ac:dyDescent="0.25">
      <c r="A15" t="s">
        <v>28</v>
      </c>
      <c r="B15" t="s">
        <v>13</v>
      </c>
      <c r="C15" t="s">
        <v>15</v>
      </c>
      <c r="D15">
        <v>2</v>
      </c>
      <c r="E15">
        <v>309</v>
      </c>
      <c r="F15">
        <v>618</v>
      </c>
    </row>
    <row r="16" spans="1:6" x14ac:dyDescent="0.25">
      <c r="A16" t="s">
        <v>29</v>
      </c>
      <c r="B16" t="s">
        <v>10</v>
      </c>
      <c r="C16" t="s">
        <v>8</v>
      </c>
      <c r="D16">
        <v>5</v>
      </c>
      <c r="E16">
        <v>65</v>
      </c>
      <c r="F16">
        <v>325</v>
      </c>
    </row>
    <row r="17" spans="1:6" x14ac:dyDescent="0.25">
      <c r="A17" t="s">
        <v>30</v>
      </c>
      <c r="B17" t="s">
        <v>17</v>
      </c>
      <c r="C17" t="s">
        <v>11</v>
      </c>
      <c r="D17">
        <v>7</v>
      </c>
      <c r="E17">
        <v>438</v>
      </c>
      <c r="F17">
        <v>3066</v>
      </c>
    </row>
    <row r="18" spans="1:6" x14ac:dyDescent="0.25">
      <c r="A18" t="s">
        <v>31</v>
      </c>
      <c r="B18" t="s">
        <v>13</v>
      </c>
      <c r="C18" t="s">
        <v>8</v>
      </c>
      <c r="D18">
        <v>5</v>
      </c>
      <c r="E18">
        <v>270</v>
      </c>
      <c r="F18">
        <v>1350</v>
      </c>
    </row>
    <row r="19" spans="1:6" x14ac:dyDescent="0.25">
      <c r="A19" t="s">
        <v>32</v>
      </c>
      <c r="B19" t="s">
        <v>7</v>
      </c>
      <c r="C19" t="s">
        <v>11</v>
      </c>
      <c r="D19">
        <v>5</v>
      </c>
      <c r="E19">
        <v>418</v>
      </c>
      <c r="F19">
        <v>2090</v>
      </c>
    </row>
    <row r="20" spans="1:6" x14ac:dyDescent="0.25">
      <c r="A20" t="s">
        <v>33</v>
      </c>
      <c r="B20" t="s">
        <v>17</v>
      </c>
      <c r="C20" t="s">
        <v>27</v>
      </c>
      <c r="D20">
        <v>8</v>
      </c>
      <c r="E20">
        <v>183</v>
      </c>
      <c r="F20">
        <v>1464</v>
      </c>
    </row>
    <row r="21" spans="1:6" x14ac:dyDescent="0.25">
      <c r="A21" t="s">
        <v>34</v>
      </c>
      <c r="B21" t="s">
        <v>7</v>
      </c>
      <c r="C21" t="s">
        <v>27</v>
      </c>
      <c r="D21">
        <v>9</v>
      </c>
      <c r="E21">
        <v>191</v>
      </c>
      <c r="F21">
        <v>1719</v>
      </c>
    </row>
    <row r="22" spans="1:6" x14ac:dyDescent="0.25">
      <c r="A22" t="s">
        <v>35</v>
      </c>
      <c r="B22" t="s">
        <v>13</v>
      </c>
      <c r="C22" t="s">
        <v>15</v>
      </c>
      <c r="D22">
        <v>1</v>
      </c>
      <c r="E22">
        <v>264</v>
      </c>
      <c r="F22">
        <v>264</v>
      </c>
    </row>
    <row r="23" spans="1:6" x14ac:dyDescent="0.25">
      <c r="A23" t="s">
        <v>36</v>
      </c>
      <c r="B23" t="s">
        <v>19</v>
      </c>
      <c r="C23" t="s">
        <v>15</v>
      </c>
      <c r="D23">
        <v>9</v>
      </c>
      <c r="E23">
        <v>414</v>
      </c>
      <c r="F23">
        <v>3726</v>
      </c>
    </row>
    <row r="24" spans="1:6" x14ac:dyDescent="0.25">
      <c r="A24" t="s">
        <v>26</v>
      </c>
      <c r="B24" t="s">
        <v>19</v>
      </c>
      <c r="C24" t="s">
        <v>15</v>
      </c>
      <c r="D24">
        <v>3</v>
      </c>
      <c r="E24">
        <v>156</v>
      </c>
      <c r="F24">
        <v>468</v>
      </c>
    </row>
    <row r="25" spans="1:6" x14ac:dyDescent="0.25">
      <c r="A25" t="s">
        <v>37</v>
      </c>
      <c r="B25" t="s">
        <v>17</v>
      </c>
      <c r="C25" t="s">
        <v>15</v>
      </c>
      <c r="D25">
        <v>1</v>
      </c>
      <c r="E25">
        <v>103</v>
      </c>
      <c r="F25">
        <v>103</v>
      </c>
    </row>
    <row r="26" spans="1:6" x14ac:dyDescent="0.25">
      <c r="A26" t="s">
        <v>38</v>
      </c>
      <c r="B26" t="s">
        <v>17</v>
      </c>
      <c r="C26" t="s">
        <v>11</v>
      </c>
      <c r="D26">
        <v>10</v>
      </c>
      <c r="E26">
        <v>433</v>
      </c>
      <c r="F26">
        <v>4330</v>
      </c>
    </row>
    <row r="27" spans="1:6" x14ac:dyDescent="0.25">
      <c r="A27" t="s">
        <v>39</v>
      </c>
      <c r="B27" t="s">
        <v>19</v>
      </c>
      <c r="C27" t="s">
        <v>11</v>
      </c>
      <c r="D27">
        <v>2</v>
      </c>
      <c r="E27">
        <v>69</v>
      </c>
      <c r="F27">
        <v>138</v>
      </c>
    </row>
    <row r="28" spans="1:6" x14ac:dyDescent="0.25">
      <c r="A28" t="s">
        <v>40</v>
      </c>
      <c r="B28" t="s">
        <v>13</v>
      </c>
      <c r="C28" t="s">
        <v>8</v>
      </c>
      <c r="D28">
        <v>2</v>
      </c>
      <c r="E28">
        <v>402</v>
      </c>
      <c r="F28">
        <v>804</v>
      </c>
    </row>
    <row r="29" spans="1:6" x14ac:dyDescent="0.25">
      <c r="A29" t="s">
        <v>41</v>
      </c>
      <c r="B29" t="s">
        <v>13</v>
      </c>
      <c r="C29" t="s">
        <v>8</v>
      </c>
      <c r="D29">
        <v>3</v>
      </c>
      <c r="E29">
        <v>420</v>
      </c>
      <c r="F29">
        <v>1260</v>
      </c>
    </row>
    <row r="30" spans="1:6" x14ac:dyDescent="0.25">
      <c r="A30" t="s">
        <v>42</v>
      </c>
      <c r="B30" t="s">
        <v>10</v>
      </c>
      <c r="C30" t="s">
        <v>11</v>
      </c>
      <c r="D30">
        <v>6</v>
      </c>
      <c r="E30">
        <v>78</v>
      </c>
      <c r="F30">
        <v>468</v>
      </c>
    </row>
    <row r="31" spans="1:6" x14ac:dyDescent="0.25">
      <c r="A31" t="s">
        <v>43</v>
      </c>
      <c r="B31" t="s">
        <v>7</v>
      </c>
      <c r="C31" t="s">
        <v>11</v>
      </c>
      <c r="D31">
        <v>5</v>
      </c>
      <c r="E31">
        <v>50</v>
      </c>
      <c r="F31">
        <v>250</v>
      </c>
    </row>
    <row r="32" spans="1:6" x14ac:dyDescent="0.25">
      <c r="A32" t="s">
        <v>39</v>
      </c>
      <c r="B32" t="s">
        <v>19</v>
      </c>
      <c r="C32" t="s">
        <v>11</v>
      </c>
      <c r="D32">
        <v>8</v>
      </c>
      <c r="E32">
        <v>159</v>
      </c>
      <c r="F32">
        <v>1272</v>
      </c>
    </row>
    <row r="33" spans="1:6" x14ac:dyDescent="0.25">
      <c r="A33" t="s">
        <v>44</v>
      </c>
      <c r="B33" t="s">
        <v>7</v>
      </c>
      <c r="C33" t="s">
        <v>27</v>
      </c>
      <c r="D33">
        <v>4</v>
      </c>
      <c r="E33">
        <v>344</v>
      </c>
      <c r="F33">
        <v>1376</v>
      </c>
    </row>
    <row r="34" spans="1:6" x14ac:dyDescent="0.25">
      <c r="A34" t="s">
        <v>45</v>
      </c>
      <c r="B34" t="s">
        <v>10</v>
      </c>
      <c r="C34" t="s">
        <v>8</v>
      </c>
      <c r="D34">
        <v>3</v>
      </c>
      <c r="E34">
        <v>120</v>
      </c>
      <c r="F34">
        <v>360</v>
      </c>
    </row>
    <row r="35" spans="1:6" x14ac:dyDescent="0.25">
      <c r="A35" t="s">
        <v>46</v>
      </c>
      <c r="B35" t="s">
        <v>7</v>
      </c>
      <c r="C35" t="s">
        <v>27</v>
      </c>
      <c r="D35">
        <v>6</v>
      </c>
      <c r="E35">
        <v>408</v>
      </c>
      <c r="F35">
        <v>2448</v>
      </c>
    </row>
    <row r="36" spans="1:6" x14ac:dyDescent="0.25">
      <c r="A36" t="s">
        <v>47</v>
      </c>
      <c r="B36" t="s">
        <v>19</v>
      </c>
      <c r="C36" t="s">
        <v>8</v>
      </c>
      <c r="D36">
        <v>4</v>
      </c>
      <c r="E36">
        <v>146</v>
      </c>
      <c r="F36">
        <v>584</v>
      </c>
    </row>
    <row r="37" spans="1:6" x14ac:dyDescent="0.25">
      <c r="A37" t="s">
        <v>48</v>
      </c>
      <c r="B37" t="s">
        <v>7</v>
      </c>
      <c r="C37" t="s">
        <v>8</v>
      </c>
      <c r="D37">
        <v>2</v>
      </c>
      <c r="E37">
        <v>392</v>
      </c>
      <c r="F37">
        <v>784</v>
      </c>
    </row>
    <row r="38" spans="1:6" x14ac:dyDescent="0.25">
      <c r="A38" t="s">
        <v>49</v>
      </c>
      <c r="B38" t="s">
        <v>19</v>
      </c>
      <c r="C38" t="s">
        <v>8</v>
      </c>
      <c r="D38">
        <v>10</v>
      </c>
      <c r="E38">
        <v>416</v>
      </c>
      <c r="F38">
        <v>4160</v>
      </c>
    </row>
    <row r="39" spans="1:6" x14ac:dyDescent="0.25">
      <c r="A39" t="s">
        <v>50</v>
      </c>
      <c r="B39" t="s">
        <v>13</v>
      </c>
      <c r="C39" t="s">
        <v>15</v>
      </c>
      <c r="D39">
        <v>3</v>
      </c>
      <c r="E39">
        <v>91</v>
      </c>
      <c r="F39">
        <v>273</v>
      </c>
    </row>
    <row r="40" spans="1:6" x14ac:dyDescent="0.25">
      <c r="A40" t="s">
        <v>51</v>
      </c>
      <c r="B40" t="s">
        <v>7</v>
      </c>
      <c r="C40" t="s">
        <v>8</v>
      </c>
      <c r="D40">
        <v>7</v>
      </c>
      <c r="E40">
        <v>220</v>
      </c>
      <c r="F40">
        <v>1540</v>
      </c>
    </row>
    <row r="41" spans="1:6" x14ac:dyDescent="0.25">
      <c r="A41" t="s">
        <v>52</v>
      </c>
      <c r="B41" t="s">
        <v>17</v>
      </c>
      <c r="C41" t="s">
        <v>11</v>
      </c>
      <c r="D41">
        <v>10</v>
      </c>
      <c r="E41">
        <v>411</v>
      </c>
      <c r="F41">
        <v>4110</v>
      </c>
    </row>
    <row r="42" spans="1:6" x14ac:dyDescent="0.25">
      <c r="A42" t="s">
        <v>53</v>
      </c>
      <c r="B42" t="s">
        <v>17</v>
      </c>
      <c r="C42" t="s">
        <v>8</v>
      </c>
      <c r="D42">
        <v>3</v>
      </c>
      <c r="E42">
        <v>58</v>
      </c>
      <c r="F42">
        <v>174</v>
      </c>
    </row>
    <row r="43" spans="1:6" x14ac:dyDescent="0.25">
      <c r="A43" t="s">
        <v>54</v>
      </c>
      <c r="B43" t="s">
        <v>13</v>
      </c>
      <c r="C43" t="s">
        <v>11</v>
      </c>
      <c r="D43">
        <v>9</v>
      </c>
      <c r="E43">
        <v>100</v>
      </c>
      <c r="F43">
        <v>900</v>
      </c>
    </row>
    <row r="44" spans="1:6" x14ac:dyDescent="0.25">
      <c r="A44" t="s">
        <v>55</v>
      </c>
      <c r="B44" t="s">
        <v>10</v>
      </c>
      <c r="C44" t="s">
        <v>8</v>
      </c>
      <c r="D44">
        <v>3</v>
      </c>
      <c r="E44">
        <v>217</v>
      </c>
      <c r="F44">
        <v>651</v>
      </c>
    </row>
    <row r="45" spans="1:6" x14ac:dyDescent="0.25">
      <c r="A45" t="s">
        <v>56</v>
      </c>
      <c r="B45" t="s">
        <v>10</v>
      </c>
      <c r="C45" t="s">
        <v>11</v>
      </c>
      <c r="D45">
        <v>8</v>
      </c>
      <c r="E45">
        <v>346</v>
      </c>
      <c r="F45">
        <v>2768</v>
      </c>
    </row>
    <row r="46" spans="1:6" x14ac:dyDescent="0.25">
      <c r="A46" t="s">
        <v>57</v>
      </c>
      <c r="B46" t="s">
        <v>7</v>
      </c>
      <c r="C46" t="s">
        <v>27</v>
      </c>
      <c r="D46">
        <v>1</v>
      </c>
      <c r="E46">
        <v>416</v>
      </c>
      <c r="F46">
        <v>416</v>
      </c>
    </row>
    <row r="47" spans="1:6" x14ac:dyDescent="0.25">
      <c r="A47" t="s">
        <v>58</v>
      </c>
      <c r="B47" t="s">
        <v>7</v>
      </c>
      <c r="C47" t="s">
        <v>27</v>
      </c>
      <c r="D47">
        <v>3</v>
      </c>
      <c r="E47">
        <v>406</v>
      </c>
      <c r="F47">
        <v>1218</v>
      </c>
    </row>
    <row r="48" spans="1:6" x14ac:dyDescent="0.25">
      <c r="A48" t="s">
        <v>59</v>
      </c>
      <c r="B48" t="s">
        <v>7</v>
      </c>
      <c r="C48" t="s">
        <v>8</v>
      </c>
      <c r="D48">
        <v>10</v>
      </c>
      <c r="E48">
        <v>77</v>
      </c>
      <c r="F48">
        <v>770</v>
      </c>
    </row>
    <row r="49" spans="1:6" x14ac:dyDescent="0.25">
      <c r="A49" t="s">
        <v>60</v>
      </c>
      <c r="B49" t="s">
        <v>7</v>
      </c>
      <c r="C49" t="s">
        <v>11</v>
      </c>
      <c r="D49">
        <v>9</v>
      </c>
      <c r="E49">
        <v>167</v>
      </c>
      <c r="F49">
        <v>1503</v>
      </c>
    </row>
    <row r="50" spans="1:6" x14ac:dyDescent="0.25">
      <c r="A50" t="s">
        <v>61</v>
      </c>
      <c r="B50" t="s">
        <v>7</v>
      </c>
      <c r="C50" t="s">
        <v>27</v>
      </c>
      <c r="D50">
        <v>2</v>
      </c>
      <c r="E50">
        <v>333</v>
      </c>
      <c r="F50">
        <v>666</v>
      </c>
    </row>
    <row r="51" spans="1:6" x14ac:dyDescent="0.25">
      <c r="A51" t="s">
        <v>62</v>
      </c>
      <c r="B51" t="s">
        <v>7</v>
      </c>
      <c r="C51" t="s">
        <v>27</v>
      </c>
      <c r="D51">
        <v>6</v>
      </c>
      <c r="E51">
        <v>305</v>
      </c>
      <c r="F51">
        <v>1830</v>
      </c>
    </row>
    <row r="52" spans="1:6" x14ac:dyDescent="0.25">
      <c r="A52" t="s">
        <v>57</v>
      </c>
      <c r="B52" t="s">
        <v>7</v>
      </c>
      <c r="C52" t="s">
        <v>15</v>
      </c>
      <c r="D52">
        <v>8</v>
      </c>
      <c r="E52">
        <v>323</v>
      </c>
      <c r="F52">
        <v>2584</v>
      </c>
    </row>
    <row r="53" spans="1:6" x14ac:dyDescent="0.25">
      <c r="A53" t="s">
        <v>63</v>
      </c>
      <c r="B53" t="s">
        <v>17</v>
      </c>
      <c r="C53" t="s">
        <v>11</v>
      </c>
      <c r="D53">
        <v>2</v>
      </c>
      <c r="E53">
        <v>439</v>
      </c>
      <c r="F53">
        <v>878</v>
      </c>
    </row>
    <row r="54" spans="1:6" x14ac:dyDescent="0.25">
      <c r="A54" t="s">
        <v>30</v>
      </c>
      <c r="B54" t="s">
        <v>17</v>
      </c>
      <c r="C54" t="s">
        <v>15</v>
      </c>
      <c r="D54">
        <v>2</v>
      </c>
      <c r="E54">
        <v>115</v>
      </c>
      <c r="F54">
        <v>230</v>
      </c>
    </row>
    <row r="55" spans="1:6" x14ac:dyDescent="0.25">
      <c r="A55" t="s">
        <v>64</v>
      </c>
      <c r="B55" t="s">
        <v>7</v>
      </c>
      <c r="C55" t="s">
        <v>8</v>
      </c>
      <c r="D55">
        <v>6</v>
      </c>
      <c r="E55">
        <v>216</v>
      </c>
      <c r="F55">
        <v>1296</v>
      </c>
    </row>
    <row r="56" spans="1:6" x14ac:dyDescent="0.25">
      <c r="A56" t="s">
        <v>65</v>
      </c>
      <c r="B56" t="s">
        <v>13</v>
      </c>
      <c r="C56" t="s">
        <v>11</v>
      </c>
      <c r="D56">
        <v>4</v>
      </c>
      <c r="E56">
        <v>267</v>
      </c>
      <c r="F56">
        <v>1068</v>
      </c>
    </row>
    <row r="57" spans="1:6" x14ac:dyDescent="0.25">
      <c r="A57" t="s">
        <v>66</v>
      </c>
      <c r="B57" t="s">
        <v>7</v>
      </c>
      <c r="C57" t="s">
        <v>27</v>
      </c>
      <c r="D57">
        <v>10</v>
      </c>
      <c r="E57">
        <v>199</v>
      </c>
      <c r="F57">
        <v>1990</v>
      </c>
    </row>
    <row r="58" spans="1:6" x14ac:dyDescent="0.25">
      <c r="A58" t="s">
        <v>67</v>
      </c>
      <c r="B58" t="s">
        <v>17</v>
      </c>
      <c r="C58" t="s">
        <v>8</v>
      </c>
      <c r="D58">
        <v>2</v>
      </c>
      <c r="E58">
        <v>152</v>
      </c>
      <c r="F58">
        <v>304</v>
      </c>
    </row>
    <row r="59" spans="1:6" x14ac:dyDescent="0.25">
      <c r="A59" t="s">
        <v>68</v>
      </c>
      <c r="B59" t="s">
        <v>10</v>
      </c>
      <c r="C59" t="s">
        <v>11</v>
      </c>
      <c r="D59">
        <v>4</v>
      </c>
      <c r="E59">
        <v>282</v>
      </c>
      <c r="F59">
        <v>1128</v>
      </c>
    </row>
    <row r="60" spans="1:6" x14ac:dyDescent="0.25">
      <c r="A60" t="s">
        <v>69</v>
      </c>
      <c r="B60" t="s">
        <v>17</v>
      </c>
      <c r="C60" t="s">
        <v>27</v>
      </c>
      <c r="D60">
        <v>6</v>
      </c>
      <c r="E60">
        <v>93</v>
      </c>
      <c r="F60">
        <v>558</v>
      </c>
    </row>
    <row r="61" spans="1:6" x14ac:dyDescent="0.25">
      <c r="A61" t="s">
        <v>70</v>
      </c>
      <c r="B61" t="s">
        <v>19</v>
      </c>
      <c r="C61" t="s">
        <v>11</v>
      </c>
      <c r="D61">
        <v>8</v>
      </c>
      <c r="E61">
        <v>167</v>
      </c>
      <c r="F61">
        <v>1336</v>
      </c>
    </row>
    <row r="62" spans="1:6" x14ac:dyDescent="0.25">
      <c r="A62" t="s">
        <v>71</v>
      </c>
      <c r="B62" t="s">
        <v>7</v>
      </c>
      <c r="C62" t="s">
        <v>8</v>
      </c>
      <c r="D62">
        <v>10</v>
      </c>
      <c r="E62">
        <v>81</v>
      </c>
      <c r="F62">
        <v>810</v>
      </c>
    </row>
    <row r="63" spans="1:6" x14ac:dyDescent="0.25">
      <c r="A63" t="s">
        <v>72</v>
      </c>
      <c r="B63" t="s">
        <v>10</v>
      </c>
      <c r="C63" t="s">
        <v>8</v>
      </c>
      <c r="D63">
        <v>5</v>
      </c>
      <c r="E63">
        <v>91</v>
      </c>
      <c r="F63">
        <v>455</v>
      </c>
    </row>
    <row r="64" spans="1:6" x14ac:dyDescent="0.25">
      <c r="A64" t="s">
        <v>48</v>
      </c>
      <c r="B64" t="s">
        <v>17</v>
      </c>
      <c r="C64" t="s">
        <v>15</v>
      </c>
      <c r="D64">
        <v>7</v>
      </c>
      <c r="E64">
        <v>437</v>
      </c>
      <c r="F64">
        <v>3059</v>
      </c>
    </row>
    <row r="65" spans="1:6" x14ac:dyDescent="0.25">
      <c r="A65" t="s">
        <v>12</v>
      </c>
      <c r="B65" t="s">
        <v>19</v>
      </c>
      <c r="C65" t="s">
        <v>27</v>
      </c>
      <c r="D65">
        <v>7</v>
      </c>
      <c r="E65">
        <v>118</v>
      </c>
      <c r="F65">
        <v>826</v>
      </c>
    </row>
    <row r="66" spans="1:6" x14ac:dyDescent="0.25">
      <c r="A66" t="s">
        <v>73</v>
      </c>
      <c r="B66" t="s">
        <v>10</v>
      </c>
      <c r="C66" t="s">
        <v>15</v>
      </c>
      <c r="D66">
        <v>4</v>
      </c>
      <c r="E66">
        <v>67</v>
      </c>
      <c r="F66">
        <v>268</v>
      </c>
    </row>
    <row r="67" spans="1:6" x14ac:dyDescent="0.25">
      <c r="A67" t="s">
        <v>74</v>
      </c>
      <c r="B67" t="s">
        <v>7</v>
      </c>
      <c r="C67" t="s">
        <v>8</v>
      </c>
      <c r="D67">
        <v>1</v>
      </c>
      <c r="E67">
        <v>305</v>
      </c>
      <c r="F67">
        <v>305</v>
      </c>
    </row>
    <row r="68" spans="1:6" x14ac:dyDescent="0.25">
      <c r="A68" t="s">
        <v>75</v>
      </c>
      <c r="B68" t="s">
        <v>19</v>
      </c>
      <c r="C68" t="s">
        <v>8</v>
      </c>
      <c r="D68">
        <v>4</v>
      </c>
      <c r="E68">
        <v>332</v>
      </c>
      <c r="F68">
        <v>1328</v>
      </c>
    </row>
    <row r="69" spans="1:6" x14ac:dyDescent="0.25">
      <c r="A69" t="s">
        <v>71</v>
      </c>
      <c r="B69" t="s">
        <v>13</v>
      </c>
      <c r="C69" t="s">
        <v>8</v>
      </c>
      <c r="D69">
        <v>3</v>
      </c>
      <c r="E69">
        <v>421</v>
      </c>
      <c r="F69">
        <v>1263</v>
      </c>
    </row>
    <row r="70" spans="1:6" x14ac:dyDescent="0.25">
      <c r="A70" t="s">
        <v>76</v>
      </c>
      <c r="B70" t="s">
        <v>17</v>
      </c>
      <c r="C70" t="s">
        <v>11</v>
      </c>
      <c r="D70">
        <v>6</v>
      </c>
      <c r="E70">
        <v>143</v>
      </c>
      <c r="F70">
        <v>858</v>
      </c>
    </row>
    <row r="71" spans="1:6" x14ac:dyDescent="0.25">
      <c r="A71" t="s">
        <v>77</v>
      </c>
      <c r="B71" t="s">
        <v>13</v>
      </c>
      <c r="C71" t="s">
        <v>8</v>
      </c>
      <c r="D71">
        <v>10</v>
      </c>
      <c r="E71">
        <v>170</v>
      </c>
      <c r="F71">
        <v>1700</v>
      </c>
    </row>
    <row r="72" spans="1:6" x14ac:dyDescent="0.25">
      <c r="A72" t="s">
        <v>34</v>
      </c>
      <c r="B72" t="s">
        <v>10</v>
      </c>
      <c r="C72" t="s">
        <v>11</v>
      </c>
      <c r="D72">
        <v>2</v>
      </c>
      <c r="E72">
        <v>394</v>
      </c>
      <c r="F72">
        <v>788</v>
      </c>
    </row>
    <row r="73" spans="1:6" x14ac:dyDescent="0.25">
      <c r="A73" t="s">
        <v>78</v>
      </c>
      <c r="B73" t="s">
        <v>7</v>
      </c>
      <c r="C73" t="s">
        <v>8</v>
      </c>
      <c r="D73">
        <v>1</v>
      </c>
      <c r="E73">
        <v>318</v>
      </c>
      <c r="F73">
        <v>318</v>
      </c>
    </row>
    <row r="74" spans="1:6" x14ac:dyDescent="0.25">
      <c r="A74" t="s">
        <v>79</v>
      </c>
      <c r="B74" t="s">
        <v>10</v>
      </c>
      <c r="C74" t="s">
        <v>15</v>
      </c>
      <c r="D74">
        <v>10</v>
      </c>
      <c r="E74">
        <v>306</v>
      </c>
      <c r="F74">
        <v>3060</v>
      </c>
    </row>
    <row r="75" spans="1:6" x14ac:dyDescent="0.25">
      <c r="A75" t="s">
        <v>80</v>
      </c>
      <c r="B75" t="s">
        <v>13</v>
      </c>
      <c r="C75" t="s">
        <v>8</v>
      </c>
      <c r="D75">
        <v>6</v>
      </c>
      <c r="E75">
        <v>406</v>
      </c>
      <c r="F75">
        <v>2436</v>
      </c>
    </row>
    <row r="76" spans="1:6" x14ac:dyDescent="0.25">
      <c r="A76" t="s">
        <v>81</v>
      </c>
      <c r="B76" t="s">
        <v>13</v>
      </c>
      <c r="C76" t="s">
        <v>11</v>
      </c>
      <c r="D76">
        <v>9</v>
      </c>
      <c r="E76">
        <v>62</v>
      </c>
      <c r="F76">
        <v>558</v>
      </c>
    </row>
    <row r="77" spans="1:6" x14ac:dyDescent="0.25">
      <c r="A77" t="s">
        <v>82</v>
      </c>
      <c r="B77" t="s">
        <v>13</v>
      </c>
      <c r="C77" t="s">
        <v>8</v>
      </c>
      <c r="D77">
        <v>5</v>
      </c>
      <c r="E77">
        <v>167</v>
      </c>
      <c r="F77">
        <v>835</v>
      </c>
    </row>
    <row r="78" spans="1:6" x14ac:dyDescent="0.25">
      <c r="A78" t="s">
        <v>60</v>
      </c>
      <c r="B78" t="s">
        <v>19</v>
      </c>
      <c r="C78" t="s">
        <v>27</v>
      </c>
      <c r="D78">
        <v>3</v>
      </c>
      <c r="E78">
        <v>165</v>
      </c>
      <c r="F78">
        <v>495</v>
      </c>
    </row>
    <row r="79" spans="1:6" x14ac:dyDescent="0.25">
      <c r="A79" t="s">
        <v>83</v>
      </c>
      <c r="B79" t="s">
        <v>13</v>
      </c>
      <c r="C79" t="s">
        <v>27</v>
      </c>
      <c r="D79">
        <v>7</v>
      </c>
      <c r="E79">
        <v>53</v>
      </c>
      <c r="F79">
        <v>371</v>
      </c>
    </row>
    <row r="80" spans="1:6" x14ac:dyDescent="0.25">
      <c r="A80" t="s">
        <v>84</v>
      </c>
      <c r="B80" t="s">
        <v>19</v>
      </c>
      <c r="C80" t="s">
        <v>15</v>
      </c>
      <c r="D80">
        <v>7</v>
      </c>
      <c r="E80">
        <v>396</v>
      </c>
      <c r="F80">
        <v>2772</v>
      </c>
    </row>
    <row r="81" spans="1:6" x14ac:dyDescent="0.25">
      <c r="A81" t="s">
        <v>85</v>
      </c>
      <c r="B81" t="s">
        <v>17</v>
      </c>
      <c r="C81" t="s">
        <v>27</v>
      </c>
      <c r="D81">
        <v>6</v>
      </c>
      <c r="E81">
        <v>317</v>
      </c>
      <c r="F81">
        <v>1902</v>
      </c>
    </row>
    <row r="82" spans="1:6" x14ac:dyDescent="0.25">
      <c r="A82" t="s">
        <v>86</v>
      </c>
      <c r="B82" t="s">
        <v>19</v>
      </c>
      <c r="C82" t="s">
        <v>27</v>
      </c>
      <c r="D82">
        <v>8</v>
      </c>
      <c r="E82">
        <v>234</v>
      </c>
      <c r="F82">
        <v>1872</v>
      </c>
    </row>
    <row r="83" spans="1:6" x14ac:dyDescent="0.25">
      <c r="A83" t="s">
        <v>87</v>
      </c>
      <c r="B83" t="s">
        <v>10</v>
      </c>
      <c r="C83" t="s">
        <v>8</v>
      </c>
      <c r="D83">
        <v>8</v>
      </c>
      <c r="E83">
        <v>119</v>
      </c>
      <c r="F83">
        <v>952</v>
      </c>
    </row>
    <row r="84" spans="1:6" x14ac:dyDescent="0.25">
      <c r="A84" t="s">
        <v>88</v>
      </c>
      <c r="B84" t="s">
        <v>19</v>
      </c>
      <c r="C84" t="s">
        <v>8</v>
      </c>
      <c r="D84">
        <v>5</v>
      </c>
      <c r="E84">
        <v>247</v>
      </c>
      <c r="F84">
        <v>1235</v>
      </c>
    </row>
    <row r="85" spans="1:6" x14ac:dyDescent="0.25">
      <c r="A85" t="s">
        <v>89</v>
      </c>
      <c r="B85" t="s">
        <v>19</v>
      </c>
      <c r="C85" t="s">
        <v>8</v>
      </c>
      <c r="D85">
        <v>4</v>
      </c>
      <c r="E85">
        <v>85</v>
      </c>
      <c r="F85">
        <v>340</v>
      </c>
    </row>
    <row r="86" spans="1:6" x14ac:dyDescent="0.25">
      <c r="A86" t="s">
        <v>90</v>
      </c>
      <c r="B86" t="s">
        <v>7</v>
      </c>
      <c r="C86" t="s">
        <v>15</v>
      </c>
      <c r="D86">
        <v>4</v>
      </c>
      <c r="E86">
        <v>496</v>
      </c>
      <c r="F86">
        <v>1984</v>
      </c>
    </row>
    <row r="87" spans="1:6" x14ac:dyDescent="0.25">
      <c r="A87" t="s">
        <v>44</v>
      </c>
      <c r="B87" t="s">
        <v>19</v>
      </c>
      <c r="C87" t="s">
        <v>11</v>
      </c>
      <c r="D87">
        <v>6</v>
      </c>
      <c r="E87">
        <v>132</v>
      </c>
      <c r="F87">
        <v>792</v>
      </c>
    </row>
    <row r="88" spans="1:6" x14ac:dyDescent="0.25">
      <c r="A88" t="s">
        <v>91</v>
      </c>
      <c r="B88" t="s">
        <v>13</v>
      </c>
      <c r="C88" t="s">
        <v>15</v>
      </c>
      <c r="D88">
        <v>6</v>
      </c>
      <c r="E88">
        <v>133</v>
      </c>
      <c r="F88">
        <v>798</v>
      </c>
    </row>
    <row r="89" spans="1:6" x14ac:dyDescent="0.25">
      <c r="A89" t="s">
        <v>92</v>
      </c>
      <c r="B89" t="s">
        <v>13</v>
      </c>
      <c r="C89" t="s">
        <v>27</v>
      </c>
      <c r="D89">
        <v>4</v>
      </c>
      <c r="E89">
        <v>356</v>
      </c>
      <c r="F89">
        <v>1424</v>
      </c>
    </row>
    <row r="90" spans="1:6" x14ac:dyDescent="0.25">
      <c r="A90" t="s">
        <v>86</v>
      </c>
      <c r="B90" t="s">
        <v>13</v>
      </c>
      <c r="C90" t="s">
        <v>11</v>
      </c>
      <c r="D90">
        <v>10</v>
      </c>
      <c r="E90">
        <v>212</v>
      </c>
      <c r="F90">
        <v>2120</v>
      </c>
    </row>
    <row r="91" spans="1:6" x14ac:dyDescent="0.25">
      <c r="A91" t="s">
        <v>93</v>
      </c>
      <c r="B91" t="s">
        <v>7</v>
      </c>
      <c r="C91" t="s">
        <v>27</v>
      </c>
      <c r="D91">
        <v>6</v>
      </c>
      <c r="E91">
        <v>198</v>
      </c>
      <c r="F91">
        <v>1188</v>
      </c>
    </row>
    <row r="92" spans="1:6" x14ac:dyDescent="0.25">
      <c r="A92" t="s">
        <v>94</v>
      </c>
      <c r="B92" t="s">
        <v>13</v>
      </c>
      <c r="C92" t="s">
        <v>11</v>
      </c>
      <c r="D92">
        <v>8</v>
      </c>
      <c r="E92">
        <v>253</v>
      </c>
      <c r="F92">
        <v>2024</v>
      </c>
    </row>
    <row r="93" spans="1:6" x14ac:dyDescent="0.25">
      <c r="A93" t="s">
        <v>64</v>
      </c>
      <c r="B93" t="s">
        <v>13</v>
      </c>
      <c r="C93" t="s">
        <v>15</v>
      </c>
      <c r="D93">
        <v>1</v>
      </c>
      <c r="E93">
        <v>188</v>
      </c>
      <c r="F93">
        <v>188</v>
      </c>
    </row>
    <row r="94" spans="1:6" x14ac:dyDescent="0.25">
      <c r="A94" t="s">
        <v>95</v>
      </c>
      <c r="B94" t="s">
        <v>10</v>
      </c>
      <c r="C94" t="s">
        <v>15</v>
      </c>
      <c r="D94">
        <v>9</v>
      </c>
      <c r="E94">
        <v>134</v>
      </c>
      <c r="F94">
        <v>1206</v>
      </c>
    </row>
    <row r="95" spans="1:6" x14ac:dyDescent="0.25">
      <c r="A95" t="s">
        <v>37</v>
      </c>
      <c r="B95" t="s">
        <v>19</v>
      </c>
      <c r="C95" t="s">
        <v>11</v>
      </c>
      <c r="D95">
        <v>5</v>
      </c>
      <c r="E95">
        <v>388</v>
      </c>
      <c r="F95">
        <v>1940</v>
      </c>
    </row>
    <row r="96" spans="1:6" x14ac:dyDescent="0.25">
      <c r="A96" t="s">
        <v>96</v>
      </c>
      <c r="B96" t="s">
        <v>10</v>
      </c>
      <c r="C96" t="s">
        <v>27</v>
      </c>
      <c r="D96">
        <v>4</v>
      </c>
      <c r="E96">
        <v>242</v>
      </c>
      <c r="F96">
        <v>968</v>
      </c>
    </row>
    <row r="97" spans="1:6" x14ac:dyDescent="0.25">
      <c r="A97" t="s">
        <v>97</v>
      </c>
      <c r="B97" t="s">
        <v>10</v>
      </c>
      <c r="C97" t="s">
        <v>11</v>
      </c>
      <c r="D97">
        <v>3</v>
      </c>
      <c r="E97">
        <v>284</v>
      </c>
      <c r="F97">
        <v>852</v>
      </c>
    </row>
    <row r="98" spans="1:6" x14ac:dyDescent="0.25">
      <c r="A98" t="s">
        <v>96</v>
      </c>
      <c r="B98" t="s">
        <v>19</v>
      </c>
      <c r="C98" t="s">
        <v>8</v>
      </c>
      <c r="D98">
        <v>2</v>
      </c>
      <c r="E98">
        <v>361</v>
      </c>
      <c r="F98">
        <v>722</v>
      </c>
    </row>
    <row r="99" spans="1:6" x14ac:dyDescent="0.25">
      <c r="A99" t="s">
        <v>98</v>
      </c>
      <c r="B99" t="s">
        <v>10</v>
      </c>
      <c r="C99" t="s">
        <v>15</v>
      </c>
      <c r="D99">
        <v>3</v>
      </c>
      <c r="E99">
        <v>398</v>
      </c>
      <c r="F99">
        <v>1194</v>
      </c>
    </row>
    <row r="100" spans="1:6" x14ac:dyDescent="0.25">
      <c r="A100" t="s">
        <v>99</v>
      </c>
      <c r="B100" t="s">
        <v>7</v>
      </c>
      <c r="C100" t="s">
        <v>27</v>
      </c>
      <c r="D100">
        <v>3</v>
      </c>
      <c r="E100">
        <v>226</v>
      </c>
      <c r="F100">
        <v>678</v>
      </c>
    </row>
    <row r="101" spans="1:6" x14ac:dyDescent="0.25">
      <c r="A101" t="s">
        <v>100</v>
      </c>
      <c r="B101" t="s">
        <v>17</v>
      </c>
      <c r="C101" t="s">
        <v>11</v>
      </c>
      <c r="D101">
        <v>7</v>
      </c>
      <c r="E101">
        <v>465</v>
      </c>
      <c r="F101">
        <v>3255</v>
      </c>
    </row>
    <row r="102" spans="1:6" x14ac:dyDescent="0.25">
      <c r="A102" t="s">
        <v>101</v>
      </c>
      <c r="B102" t="s">
        <v>10</v>
      </c>
      <c r="C102" t="s">
        <v>27</v>
      </c>
      <c r="D102">
        <v>4</v>
      </c>
      <c r="E102">
        <v>476</v>
      </c>
      <c r="F102">
        <v>1904</v>
      </c>
    </row>
    <row r="103" spans="1:6" x14ac:dyDescent="0.25">
      <c r="A103" t="s">
        <v>102</v>
      </c>
      <c r="B103" t="s">
        <v>10</v>
      </c>
      <c r="C103" t="s">
        <v>27</v>
      </c>
      <c r="D103">
        <v>3</v>
      </c>
      <c r="E103">
        <v>234</v>
      </c>
      <c r="F103">
        <v>702</v>
      </c>
    </row>
    <row r="104" spans="1:6" x14ac:dyDescent="0.25">
      <c r="A104" t="s">
        <v>103</v>
      </c>
      <c r="B104" t="s">
        <v>10</v>
      </c>
      <c r="C104" t="s">
        <v>11</v>
      </c>
      <c r="D104">
        <v>7</v>
      </c>
      <c r="E104">
        <v>360</v>
      </c>
      <c r="F104">
        <v>2520</v>
      </c>
    </row>
    <row r="105" spans="1:6" x14ac:dyDescent="0.25">
      <c r="A105" t="s">
        <v>104</v>
      </c>
      <c r="B105" t="s">
        <v>13</v>
      </c>
      <c r="C105" t="s">
        <v>15</v>
      </c>
      <c r="D105">
        <v>8</v>
      </c>
      <c r="E105">
        <v>467</v>
      </c>
      <c r="F105">
        <v>3736</v>
      </c>
    </row>
    <row r="106" spans="1:6" x14ac:dyDescent="0.25">
      <c r="A106" t="s">
        <v>105</v>
      </c>
      <c r="B106" t="s">
        <v>13</v>
      </c>
      <c r="C106" t="s">
        <v>27</v>
      </c>
      <c r="D106">
        <v>8</v>
      </c>
      <c r="E106">
        <v>350</v>
      </c>
      <c r="F106">
        <v>2800</v>
      </c>
    </row>
    <row r="107" spans="1:6" x14ac:dyDescent="0.25">
      <c r="A107" t="s">
        <v>106</v>
      </c>
      <c r="B107" t="s">
        <v>7</v>
      </c>
      <c r="C107" t="s">
        <v>27</v>
      </c>
      <c r="D107">
        <v>10</v>
      </c>
      <c r="E107">
        <v>441</v>
      </c>
      <c r="F107">
        <v>4410</v>
      </c>
    </row>
    <row r="108" spans="1:6" x14ac:dyDescent="0.25">
      <c r="A108" t="s">
        <v>31</v>
      </c>
      <c r="B108" t="s">
        <v>7</v>
      </c>
      <c r="C108" t="s">
        <v>8</v>
      </c>
      <c r="D108">
        <v>1</v>
      </c>
      <c r="E108">
        <v>410</v>
      </c>
      <c r="F108">
        <v>410</v>
      </c>
    </row>
    <row r="109" spans="1:6" x14ac:dyDescent="0.25">
      <c r="A109" t="s">
        <v>107</v>
      </c>
      <c r="B109" t="s">
        <v>10</v>
      </c>
      <c r="C109" t="s">
        <v>27</v>
      </c>
      <c r="D109">
        <v>9</v>
      </c>
      <c r="E109">
        <v>58</v>
      </c>
      <c r="F109">
        <v>522</v>
      </c>
    </row>
    <row r="110" spans="1:6" x14ac:dyDescent="0.25">
      <c r="A110" t="s">
        <v>108</v>
      </c>
      <c r="B110" t="s">
        <v>19</v>
      </c>
      <c r="C110" t="s">
        <v>27</v>
      </c>
      <c r="D110">
        <v>9</v>
      </c>
      <c r="E110">
        <v>288</v>
      </c>
      <c r="F110">
        <v>2592</v>
      </c>
    </row>
    <row r="111" spans="1:6" x14ac:dyDescent="0.25">
      <c r="A111" t="s">
        <v>109</v>
      </c>
      <c r="B111" t="s">
        <v>10</v>
      </c>
      <c r="C111" t="s">
        <v>15</v>
      </c>
      <c r="D111">
        <v>3</v>
      </c>
      <c r="E111">
        <v>58</v>
      </c>
      <c r="F111">
        <v>174</v>
      </c>
    </row>
    <row r="112" spans="1:6" x14ac:dyDescent="0.25">
      <c r="A112" t="s">
        <v>110</v>
      </c>
      <c r="B112" t="s">
        <v>10</v>
      </c>
      <c r="C112" t="s">
        <v>27</v>
      </c>
      <c r="D112">
        <v>8</v>
      </c>
      <c r="E112">
        <v>331</v>
      </c>
      <c r="F112">
        <v>2648</v>
      </c>
    </row>
    <row r="113" spans="1:6" x14ac:dyDescent="0.25">
      <c r="A113" t="s">
        <v>111</v>
      </c>
      <c r="B113" t="s">
        <v>7</v>
      </c>
      <c r="C113" t="s">
        <v>11</v>
      </c>
      <c r="D113">
        <v>9</v>
      </c>
      <c r="E113">
        <v>387</v>
      </c>
      <c r="F113">
        <v>3483</v>
      </c>
    </row>
    <row r="114" spans="1:6" x14ac:dyDescent="0.25">
      <c r="A114" t="s">
        <v>112</v>
      </c>
      <c r="B114" t="s">
        <v>7</v>
      </c>
      <c r="C114" t="s">
        <v>11</v>
      </c>
      <c r="D114">
        <v>4</v>
      </c>
      <c r="E114">
        <v>323</v>
      </c>
      <c r="F114">
        <v>1292</v>
      </c>
    </row>
    <row r="115" spans="1:6" x14ac:dyDescent="0.25">
      <c r="A115" t="s">
        <v>113</v>
      </c>
      <c r="B115" t="s">
        <v>13</v>
      </c>
      <c r="C115" t="s">
        <v>8</v>
      </c>
      <c r="D115">
        <v>3</v>
      </c>
      <c r="E115">
        <v>403</v>
      </c>
      <c r="F115">
        <v>1209</v>
      </c>
    </row>
    <row r="116" spans="1:6" x14ac:dyDescent="0.25">
      <c r="A116" t="s">
        <v>114</v>
      </c>
      <c r="B116" t="s">
        <v>7</v>
      </c>
      <c r="C116" t="s">
        <v>11</v>
      </c>
      <c r="D116">
        <v>6</v>
      </c>
      <c r="E116">
        <v>72</v>
      </c>
      <c r="F116">
        <v>432</v>
      </c>
    </row>
    <row r="117" spans="1:6" x14ac:dyDescent="0.25">
      <c r="A117" t="s">
        <v>22</v>
      </c>
      <c r="B117" t="s">
        <v>7</v>
      </c>
      <c r="C117" t="s">
        <v>15</v>
      </c>
      <c r="D117">
        <v>4</v>
      </c>
      <c r="E117">
        <v>287</v>
      </c>
      <c r="F117">
        <v>1148</v>
      </c>
    </row>
    <row r="118" spans="1:6" x14ac:dyDescent="0.25">
      <c r="A118" t="s">
        <v>115</v>
      </c>
      <c r="B118" t="s">
        <v>7</v>
      </c>
      <c r="C118" t="s">
        <v>27</v>
      </c>
      <c r="D118">
        <v>7</v>
      </c>
      <c r="E118">
        <v>204</v>
      </c>
      <c r="F118">
        <v>1428</v>
      </c>
    </row>
    <row r="119" spans="1:6" x14ac:dyDescent="0.25">
      <c r="A119" t="s">
        <v>116</v>
      </c>
      <c r="B119" t="s">
        <v>7</v>
      </c>
      <c r="C119" t="s">
        <v>11</v>
      </c>
      <c r="D119">
        <v>5</v>
      </c>
      <c r="E119">
        <v>103</v>
      </c>
      <c r="F119">
        <v>515</v>
      </c>
    </row>
    <row r="120" spans="1:6" x14ac:dyDescent="0.25">
      <c r="A120" t="s">
        <v>117</v>
      </c>
      <c r="B120" t="s">
        <v>17</v>
      </c>
      <c r="C120" t="s">
        <v>15</v>
      </c>
      <c r="D120">
        <v>1</v>
      </c>
      <c r="E120">
        <v>178</v>
      </c>
      <c r="F120">
        <v>178</v>
      </c>
    </row>
    <row r="121" spans="1:6" x14ac:dyDescent="0.25">
      <c r="A121" t="s">
        <v>118</v>
      </c>
      <c r="B121" t="s">
        <v>10</v>
      </c>
      <c r="C121" t="s">
        <v>11</v>
      </c>
      <c r="D121">
        <v>6</v>
      </c>
      <c r="E121">
        <v>198</v>
      </c>
      <c r="F121">
        <v>1188</v>
      </c>
    </row>
    <row r="122" spans="1:6" x14ac:dyDescent="0.25">
      <c r="A122" t="s">
        <v>119</v>
      </c>
      <c r="B122" t="s">
        <v>7</v>
      </c>
      <c r="C122" t="s">
        <v>15</v>
      </c>
      <c r="D122">
        <v>2</v>
      </c>
      <c r="E122">
        <v>301</v>
      </c>
      <c r="F122">
        <v>602</v>
      </c>
    </row>
    <row r="123" spans="1:6" x14ac:dyDescent="0.25">
      <c r="A123" t="s">
        <v>120</v>
      </c>
      <c r="B123" t="s">
        <v>10</v>
      </c>
      <c r="C123" t="s">
        <v>15</v>
      </c>
      <c r="D123">
        <v>1</v>
      </c>
      <c r="E123">
        <v>369</v>
      </c>
      <c r="F123">
        <v>369</v>
      </c>
    </row>
    <row r="124" spans="1:6" x14ac:dyDescent="0.25">
      <c r="A124" t="s">
        <v>121</v>
      </c>
      <c r="B124" t="s">
        <v>7</v>
      </c>
      <c r="C124" t="s">
        <v>15</v>
      </c>
      <c r="D124">
        <v>6</v>
      </c>
      <c r="E124">
        <v>135</v>
      </c>
      <c r="F124">
        <v>810</v>
      </c>
    </row>
    <row r="125" spans="1:6" x14ac:dyDescent="0.25">
      <c r="A125" t="s">
        <v>122</v>
      </c>
      <c r="B125" t="s">
        <v>19</v>
      </c>
      <c r="C125" t="s">
        <v>15</v>
      </c>
      <c r="D125">
        <v>9</v>
      </c>
      <c r="E125">
        <v>381</v>
      </c>
      <c r="F125">
        <v>3429</v>
      </c>
    </row>
    <row r="126" spans="1:6" x14ac:dyDescent="0.25">
      <c r="A126" t="s">
        <v>123</v>
      </c>
      <c r="B126" t="s">
        <v>19</v>
      </c>
      <c r="C126" t="s">
        <v>15</v>
      </c>
      <c r="D126">
        <v>10</v>
      </c>
      <c r="E126">
        <v>352</v>
      </c>
      <c r="F126">
        <v>3520</v>
      </c>
    </row>
    <row r="127" spans="1:6" x14ac:dyDescent="0.25">
      <c r="A127" t="s">
        <v>124</v>
      </c>
      <c r="B127" t="s">
        <v>10</v>
      </c>
      <c r="C127" t="s">
        <v>11</v>
      </c>
      <c r="D127">
        <v>1</v>
      </c>
      <c r="E127">
        <v>148</v>
      </c>
      <c r="F127">
        <v>148</v>
      </c>
    </row>
    <row r="128" spans="1:6" x14ac:dyDescent="0.25">
      <c r="A128" t="s">
        <v>125</v>
      </c>
      <c r="B128" t="s">
        <v>19</v>
      </c>
      <c r="C128" t="s">
        <v>8</v>
      </c>
      <c r="D128">
        <v>2</v>
      </c>
      <c r="E128">
        <v>134</v>
      </c>
      <c r="F128">
        <v>268</v>
      </c>
    </row>
    <row r="129" spans="1:6" x14ac:dyDescent="0.25">
      <c r="A129" t="s">
        <v>126</v>
      </c>
      <c r="B129" t="s">
        <v>17</v>
      </c>
      <c r="C129" t="s">
        <v>15</v>
      </c>
      <c r="D129">
        <v>7</v>
      </c>
      <c r="E129">
        <v>288</v>
      </c>
      <c r="F129">
        <v>2016</v>
      </c>
    </row>
    <row r="130" spans="1:6" x14ac:dyDescent="0.25">
      <c r="A130" t="s">
        <v>127</v>
      </c>
      <c r="B130" t="s">
        <v>10</v>
      </c>
      <c r="C130" t="s">
        <v>11</v>
      </c>
      <c r="D130">
        <v>8</v>
      </c>
      <c r="E130">
        <v>199</v>
      </c>
      <c r="F130">
        <v>1592</v>
      </c>
    </row>
    <row r="131" spans="1:6" x14ac:dyDescent="0.25">
      <c r="A131" t="s">
        <v>128</v>
      </c>
      <c r="B131" t="s">
        <v>19</v>
      </c>
      <c r="C131" t="s">
        <v>8</v>
      </c>
      <c r="D131">
        <v>1</v>
      </c>
      <c r="E131">
        <v>61</v>
      </c>
      <c r="F131">
        <v>61</v>
      </c>
    </row>
    <row r="132" spans="1:6" x14ac:dyDescent="0.25">
      <c r="A132" t="s">
        <v>129</v>
      </c>
      <c r="B132" t="s">
        <v>10</v>
      </c>
      <c r="C132" t="s">
        <v>15</v>
      </c>
      <c r="D132">
        <v>6</v>
      </c>
      <c r="E132">
        <v>232</v>
      </c>
      <c r="F132">
        <v>1392</v>
      </c>
    </row>
    <row r="133" spans="1:6" x14ac:dyDescent="0.25">
      <c r="A133" t="s">
        <v>130</v>
      </c>
      <c r="B133" t="s">
        <v>13</v>
      </c>
      <c r="C133" t="s">
        <v>8</v>
      </c>
      <c r="D133">
        <v>6</v>
      </c>
      <c r="E133">
        <v>225</v>
      </c>
      <c r="F133">
        <v>1350</v>
      </c>
    </row>
    <row r="134" spans="1:6" x14ac:dyDescent="0.25">
      <c r="A134" t="s">
        <v>131</v>
      </c>
      <c r="B134" t="s">
        <v>10</v>
      </c>
      <c r="C134" t="s">
        <v>11</v>
      </c>
      <c r="D134">
        <v>7</v>
      </c>
      <c r="E134">
        <v>235</v>
      </c>
      <c r="F134">
        <v>1645</v>
      </c>
    </row>
    <row r="135" spans="1:6" x14ac:dyDescent="0.25">
      <c r="A135" t="s">
        <v>132</v>
      </c>
      <c r="B135" t="s">
        <v>17</v>
      </c>
      <c r="C135" t="s">
        <v>11</v>
      </c>
      <c r="D135">
        <v>1</v>
      </c>
      <c r="E135">
        <v>313</v>
      </c>
      <c r="F135">
        <v>313</v>
      </c>
    </row>
    <row r="136" spans="1:6" x14ac:dyDescent="0.25">
      <c r="A136" t="s">
        <v>133</v>
      </c>
      <c r="B136" t="s">
        <v>19</v>
      </c>
      <c r="C136" t="s">
        <v>8</v>
      </c>
      <c r="D136">
        <v>6</v>
      </c>
      <c r="E136">
        <v>356</v>
      </c>
      <c r="F136">
        <v>2136</v>
      </c>
    </row>
    <row r="137" spans="1:6" x14ac:dyDescent="0.25">
      <c r="A137" t="s">
        <v>134</v>
      </c>
      <c r="B137" t="s">
        <v>7</v>
      </c>
      <c r="C137" t="s">
        <v>11</v>
      </c>
      <c r="D137">
        <v>2</v>
      </c>
      <c r="E137">
        <v>178</v>
      </c>
      <c r="F137">
        <v>356</v>
      </c>
    </row>
    <row r="138" spans="1:6" x14ac:dyDescent="0.25">
      <c r="A138" t="s">
        <v>135</v>
      </c>
      <c r="B138" t="s">
        <v>13</v>
      </c>
      <c r="C138" t="s">
        <v>11</v>
      </c>
      <c r="D138">
        <v>10</v>
      </c>
      <c r="E138">
        <v>484</v>
      </c>
      <c r="F138">
        <v>4840</v>
      </c>
    </row>
    <row r="139" spans="1:6" x14ac:dyDescent="0.25">
      <c r="A139" t="s">
        <v>136</v>
      </c>
      <c r="B139" t="s">
        <v>10</v>
      </c>
      <c r="C139" t="s">
        <v>11</v>
      </c>
      <c r="D139">
        <v>6</v>
      </c>
      <c r="E139">
        <v>284</v>
      </c>
      <c r="F139">
        <v>1704</v>
      </c>
    </row>
    <row r="140" spans="1:6" x14ac:dyDescent="0.25">
      <c r="A140" t="s">
        <v>124</v>
      </c>
      <c r="B140" t="s">
        <v>13</v>
      </c>
      <c r="C140" t="s">
        <v>11</v>
      </c>
      <c r="D140">
        <v>7</v>
      </c>
      <c r="E140">
        <v>487</v>
      </c>
      <c r="F140">
        <v>3409</v>
      </c>
    </row>
    <row r="141" spans="1:6" x14ac:dyDescent="0.25">
      <c r="A141" t="s">
        <v>55</v>
      </c>
      <c r="B141" t="s">
        <v>10</v>
      </c>
      <c r="C141" t="s">
        <v>27</v>
      </c>
      <c r="D141">
        <v>9</v>
      </c>
      <c r="E141">
        <v>325</v>
      </c>
      <c r="F141">
        <v>2925</v>
      </c>
    </row>
    <row r="142" spans="1:6" x14ac:dyDescent="0.25">
      <c r="A142" t="s">
        <v>137</v>
      </c>
      <c r="B142" t="s">
        <v>13</v>
      </c>
      <c r="C142" t="s">
        <v>27</v>
      </c>
      <c r="D142">
        <v>4</v>
      </c>
      <c r="E142">
        <v>428</v>
      </c>
      <c r="F142">
        <v>1712</v>
      </c>
    </row>
    <row r="143" spans="1:6" x14ac:dyDescent="0.25">
      <c r="A143" t="s">
        <v>138</v>
      </c>
      <c r="B143" t="s">
        <v>13</v>
      </c>
      <c r="C143" t="s">
        <v>15</v>
      </c>
      <c r="D143">
        <v>4</v>
      </c>
      <c r="E143">
        <v>222</v>
      </c>
      <c r="F143">
        <v>888</v>
      </c>
    </row>
    <row r="144" spans="1:6" x14ac:dyDescent="0.25">
      <c r="A144" t="s">
        <v>110</v>
      </c>
      <c r="B144" t="s">
        <v>10</v>
      </c>
      <c r="C144" t="s">
        <v>8</v>
      </c>
      <c r="D144">
        <v>6</v>
      </c>
      <c r="E144">
        <v>202</v>
      </c>
      <c r="F144">
        <v>1212</v>
      </c>
    </row>
    <row r="145" spans="1:6" x14ac:dyDescent="0.25">
      <c r="A145" t="s">
        <v>20</v>
      </c>
      <c r="B145" t="s">
        <v>19</v>
      </c>
      <c r="C145" t="s">
        <v>8</v>
      </c>
      <c r="D145">
        <v>6</v>
      </c>
      <c r="E145">
        <v>282</v>
      </c>
      <c r="F145">
        <v>1692</v>
      </c>
    </row>
    <row r="146" spans="1:6" x14ac:dyDescent="0.25">
      <c r="A146" t="s">
        <v>136</v>
      </c>
      <c r="B146" t="s">
        <v>13</v>
      </c>
      <c r="C146" t="s">
        <v>11</v>
      </c>
      <c r="D146">
        <v>4</v>
      </c>
      <c r="E146">
        <v>116</v>
      </c>
      <c r="F146">
        <v>464</v>
      </c>
    </row>
    <row r="147" spans="1:6" x14ac:dyDescent="0.25">
      <c r="A147" t="s">
        <v>139</v>
      </c>
      <c r="B147" t="s">
        <v>19</v>
      </c>
      <c r="C147" t="s">
        <v>15</v>
      </c>
      <c r="D147">
        <v>4</v>
      </c>
      <c r="E147">
        <v>368</v>
      </c>
      <c r="F147">
        <v>1472</v>
      </c>
    </row>
    <row r="148" spans="1:6" x14ac:dyDescent="0.25">
      <c r="A148" t="s">
        <v>140</v>
      </c>
      <c r="B148" t="s">
        <v>19</v>
      </c>
      <c r="C148" t="s">
        <v>27</v>
      </c>
      <c r="D148">
        <v>7</v>
      </c>
      <c r="E148">
        <v>488</v>
      </c>
      <c r="F148">
        <v>3416</v>
      </c>
    </row>
    <row r="149" spans="1:6" x14ac:dyDescent="0.25">
      <c r="A149" t="s">
        <v>141</v>
      </c>
      <c r="B149" t="s">
        <v>10</v>
      </c>
      <c r="C149" t="s">
        <v>27</v>
      </c>
      <c r="D149">
        <v>1</v>
      </c>
      <c r="E149">
        <v>439</v>
      </c>
      <c r="F149">
        <v>439</v>
      </c>
    </row>
    <row r="150" spans="1:6" x14ac:dyDescent="0.25">
      <c r="A150" t="s">
        <v>142</v>
      </c>
      <c r="B150" t="s">
        <v>17</v>
      </c>
      <c r="C150" t="s">
        <v>15</v>
      </c>
      <c r="D150">
        <v>5</v>
      </c>
      <c r="E150">
        <v>94</v>
      </c>
      <c r="F150">
        <v>470</v>
      </c>
    </row>
    <row r="151" spans="1:6" x14ac:dyDescent="0.25">
      <c r="A151" t="s">
        <v>143</v>
      </c>
      <c r="B151" t="s">
        <v>13</v>
      </c>
      <c r="C151" t="s">
        <v>27</v>
      </c>
      <c r="D151">
        <v>1</v>
      </c>
      <c r="E151">
        <v>143</v>
      </c>
      <c r="F151">
        <v>143</v>
      </c>
    </row>
    <row r="152" spans="1:6" x14ac:dyDescent="0.25">
      <c r="A152" t="s">
        <v>74</v>
      </c>
      <c r="B152" t="s">
        <v>17</v>
      </c>
      <c r="C152" t="s">
        <v>27</v>
      </c>
      <c r="D152">
        <v>1</v>
      </c>
      <c r="E152">
        <v>364</v>
      </c>
      <c r="F152">
        <v>364</v>
      </c>
    </row>
    <row r="153" spans="1:6" x14ac:dyDescent="0.25">
      <c r="A153" t="s">
        <v>144</v>
      </c>
      <c r="B153" t="s">
        <v>17</v>
      </c>
      <c r="C153" t="s">
        <v>27</v>
      </c>
      <c r="D153">
        <v>9</v>
      </c>
      <c r="E153">
        <v>380</v>
      </c>
      <c r="F153">
        <v>3420</v>
      </c>
    </row>
    <row r="154" spans="1:6" x14ac:dyDescent="0.25">
      <c r="A154" t="s">
        <v>137</v>
      </c>
      <c r="B154" t="s">
        <v>10</v>
      </c>
      <c r="C154" t="s">
        <v>27</v>
      </c>
      <c r="D154">
        <v>8</v>
      </c>
      <c r="E154">
        <v>382</v>
      </c>
      <c r="F154">
        <v>3056</v>
      </c>
    </row>
    <row r="155" spans="1:6" x14ac:dyDescent="0.25">
      <c r="A155" t="s">
        <v>145</v>
      </c>
      <c r="B155" t="s">
        <v>7</v>
      </c>
      <c r="C155" t="s">
        <v>11</v>
      </c>
      <c r="D155">
        <v>1</v>
      </c>
      <c r="E155">
        <v>214</v>
      </c>
      <c r="F155">
        <v>214</v>
      </c>
    </row>
    <row r="156" spans="1:6" x14ac:dyDescent="0.25">
      <c r="A156" t="s">
        <v>146</v>
      </c>
      <c r="B156" t="s">
        <v>7</v>
      </c>
      <c r="C156" t="s">
        <v>11</v>
      </c>
      <c r="D156">
        <v>5</v>
      </c>
      <c r="E156">
        <v>380</v>
      </c>
      <c r="F156">
        <v>1900</v>
      </c>
    </row>
    <row r="157" spans="1:6" x14ac:dyDescent="0.25">
      <c r="A157" t="s">
        <v>84</v>
      </c>
      <c r="B157" t="s">
        <v>10</v>
      </c>
      <c r="C157" t="s">
        <v>8</v>
      </c>
      <c r="D157">
        <v>3</v>
      </c>
      <c r="E157">
        <v>96</v>
      </c>
      <c r="F157">
        <v>288</v>
      </c>
    </row>
    <row r="158" spans="1:6" x14ac:dyDescent="0.25">
      <c r="A158" t="s">
        <v>67</v>
      </c>
      <c r="B158" t="s">
        <v>7</v>
      </c>
      <c r="C158" t="s">
        <v>27</v>
      </c>
      <c r="D158">
        <v>2</v>
      </c>
      <c r="E158">
        <v>257</v>
      </c>
      <c r="F158">
        <v>514</v>
      </c>
    </row>
    <row r="159" spans="1:6" x14ac:dyDescent="0.25">
      <c r="A159" t="s">
        <v>63</v>
      </c>
      <c r="B159" t="s">
        <v>17</v>
      </c>
      <c r="C159" t="s">
        <v>27</v>
      </c>
      <c r="D159">
        <v>10</v>
      </c>
      <c r="E159">
        <v>329</v>
      </c>
      <c r="F159">
        <v>3290</v>
      </c>
    </row>
    <row r="160" spans="1:6" x14ac:dyDescent="0.25">
      <c r="A160" t="s">
        <v>147</v>
      </c>
      <c r="B160" t="s">
        <v>17</v>
      </c>
      <c r="C160" t="s">
        <v>15</v>
      </c>
      <c r="D160">
        <v>7</v>
      </c>
      <c r="E160">
        <v>111</v>
      </c>
      <c r="F160">
        <v>777</v>
      </c>
    </row>
    <row r="161" spans="1:6" x14ac:dyDescent="0.25">
      <c r="A161" t="s">
        <v>121</v>
      </c>
      <c r="B161" t="s">
        <v>10</v>
      </c>
      <c r="C161" t="s">
        <v>15</v>
      </c>
      <c r="D161">
        <v>7</v>
      </c>
      <c r="E161">
        <v>76</v>
      </c>
      <c r="F161">
        <v>532</v>
      </c>
    </row>
    <row r="162" spans="1:6" x14ac:dyDescent="0.25">
      <c r="A162" t="s">
        <v>148</v>
      </c>
      <c r="B162" t="s">
        <v>7</v>
      </c>
      <c r="C162" t="s">
        <v>11</v>
      </c>
      <c r="D162">
        <v>8</v>
      </c>
      <c r="E162">
        <v>229</v>
      </c>
      <c r="F162">
        <v>1832</v>
      </c>
    </row>
    <row r="163" spans="1:6" x14ac:dyDescent="0.25">
      <c r="A163" t="s">
        <v>149</v>
      </c>
      <c r="B163" t="s">
        <v>13</v>
      </c>
      <c r="C163" t="s">
        <v>8</v>
      </c>
      <c r="D163">
        <v>6</v>
      </c>
      <c r="E163">
        <v>295</v>
      </c>
      <c r="F163">
        <v>1770</v>
      </c>
    </row>
    <row r="164" spans="1:6" x14ac:dyDescent="0.25">
      <c r="A164" t="s">
        <v>150</v>
      </c>
      <c r="B164" t="s">
        <v>19</v>
      </c>
      <c r="C164" t="s">
        <v>15</v>
      </c>
      <c r="D164">
        <v>2</v>
      </c>
      <c r="E164">
        <v>445</v>
      </c>
      <c r="F164">
        <v>890</v>
      </c>
    </row>
    <row r="165" spans="1:6" x14ac:dyDescent="0.25">
      <c r="A165" t="s">
        <v>151</v>
      </c>
      <c r="B165" t="s">
        <v>17</v>
      </c>
      <c r="C165" t="s">
        <v>15</v>
      </c>
      <c r="D165">
        <v>7</v>
      </c>
      <c r="E165">
        <v>375</v>
      </c>
      <c r="F165">
        <v>2625</v>
      </c>
    </row>
    <row r="166" spans="1:6" x14ac:dyDescent="0.25">
      <c r="A166" t="s">
        <v>152</v>
      </c>
      <c r="B166" t="s">
        <v>13</v>
      </c>
      <c r="C166" t="s">
        <v>8</v>
      </c>
      <c r="D166">
        <v>3</v>
      </c>
      <c r="E166">
        <v>314</v>
      </c>
      <c r="F166">
        <v>942</v>
      </c>
    </row>
    <row r="167" spans="1:6" x14ac:dyDescent="0.25">
      <c r="A167" t="s">
        <v>153</v>
      </c>
      <c r="B167" t="s">
        <v>13</v>
      </c>
      <c r="C167" t="s">
        <v>27</v>
      </c>
      <c r="D167">
        <v>2</v>
      </c>
      <c r="E167">
        <v>341</v>
      </c>
      <c r="F167">
        <v>682</v>
      </c>
    </row>
    <row r="168" spans="1:6" x14ac:dyDescent="0.25">
      <c r="A168" t="s">
        <v>154</v>
      </c>
      <c r="B168" t="s">
        <v>17</v>
      </c>
      <c r="C168" t="s">
        <v>15</v>
      </c>
      <c r="D168">
        <v>9</v>
      </c>
      <c r="E168">
        <v>451</v>
      </c>
      <c r="F168">
        <v>4059</v>
      </c>
    </row>
    <row r="169" spans="1:6" x14ac:dyDescent="0.25">
      <c r="A169" t="s">
        <v>155</v>
      </c>
      <c r="B169" t="s">
        <v>19</v>
      </c>
      <c r="C169" t="s">
        <v>27</v>
      </c>
      <c r="D169">
        <v>1</v>
      </c>
      <c r="E169">
        <v>235</v>
      </c>
      <c r="F169">
        <v>235</v>
      </c>
    </row>
    <row r="170" spans="1:6" x14ac:dyDescent="0.25">
      <c r="A170" t="s">
        <v>156</v>
      </c>
      <c r="B170" t="s">
        <v>7</v>
      </c>
      <c r="C170" t="s">
        <v>8</v>
      </c>
      <c r="D170">
        <v>10</v>
      </c>
      <c r="E170">
        <v>310</v>
      </c>
      <c r="F170">
        <v>3100</v>
      </c>
    </row>
    <row r="171" spans="1:6" x14ac:dyDescent="0.25">
      <c r="A171" t="s">
        <v>157</v>
      </c>
      <c r="B171" t="s">
        <v>13</v>
      </c>
      <c r="C171" t="s">
        <v>8</v>
      </c>
      <c r="D171">
        <v>5</v>
      </c>
      <c r="E171">
        <v>379</v>
      </c>
      <c r="F171">
        <v>1895</v>
      </c>
    </row>
    <row r="172" spans="1:6" x14ac:dyDescent="0.25">
      <c r="A172" t="s">
        <v>158</v>
      </c>
      <c r="B172" t="s">
        <v>17</v>
      </c>
      <c r="C172" t="s">
        <v>15</v>
      </c>
      <c r="D172">
        <v>1</v>
      </c>
      <c r="E172">
        <v>346</v>
      </c>
      <c r="F172">
        <v>346</v>
      </c>
    </row>
    <row r="173" spans="1:6" x14ac:dyDescent="0.25">
      <c r="A173" t="s">
        <v>50</v>
      </c>
      <c r="B173" t="s">
        <v>19</v>
      </c>
      <c r="C173" t="s">
        <v>27</v>
      </c>
      <c r="D173">
        <v>4</v>
      </c>
      <c r="E173">
        <v>201</v>
      </c>
      <c r="F173">
        <v>804</v>
      </c>
    </row>
    <row r="174" spans="1:6" x14ac:dyDescent="0.25">
      <c r="A174" t="s">
        <v>117</v>
      </c>
      <c r="B174" t="s">
        <v>17</v>
      </c>
      <c r="C174" t="s">
        <v>11</v>
      </c>
      <c r="D174">
        <v>8</v>
      </c>
      <c r="E174">
        <v>257</v>
      </c>
      <c r="F174">
        <v>2056</v>
      </c>
    </row>
    <row r="175" spans="1:6" x14ac:dyDescent="0.25">
      <c r="A175" t="s">
        <v>159</v>
      </c>
      <c r="B175" t="s">
        <v>7</v>
      </c>
      <c r="C175" t="s">
        <v>27</v>
      </c>
      <c r="D175">
        <v>9</v>
      </c>
      <c r="E175">
        <v>491</v>
      </c>
      <c r="F175">
        <v>4419</v>
      </c>
    </row>
    <row r="176" spans="1:6" x14ac:dyDescent="0.25">
      <c r="A176" t="s">
        <v>145</v>
      </c>
      <c r="B176" t="s">
        <v>13</v>
      </c>
      <c r="C176" t="s">
        <v>8</v>
      </c>
      <c r="D176">
        <v>8</v>
      </c>
      <c r="E176">
        <v>283</v>
      </c>
      <c r="F176">
        <v>2264</v>
      </c>
    </row>
    <row r="177" spans="1:6" x14ac:dyDescent="0.25">
      <c r="A177" t="s">
        <v>103</v>
      </c>
      <c r="B177" t="s">
        <v>10</v>
      </c>
      <c r="C177" t="s">
        <v>15</v>
      </c>
      <c r="D177">
        <v>10</v>
      </c>
      <c r="E177">
        <v>84</v>
      </c>
      <c r="F177">
        <v>840</v>
      </c>
    </row>
    <row r="178" spans="1:6" x14ac:dyDescent="0.25">
      <c r="A178" t="s">
        <v>160</v>
      </c>
      <c r="B178" t="s">
        <v>7</v>
      </c>
      <c r="C178" t="s">
        <v>11</v>
      </c>
      <c r="D178">
        <v>9</v>
      </c>
      <c r="E178">
        <v>149</v>
      </c>
      <c r="F178">
        <v>1341</v>
      </c>
    </row>
    <row r="179" spans="1:6" x14ac:dyDescent="0.25">
      <c r="A179" t="s">
        <v>161</v>
      </c>
      <c r="B179" t="s">
        <v>17</v>
      </c>
      <c r="C179" t="s">
        <v>8</v>
      </c>
      <c r="D179">
        <v>1</v>
      </c>
      <c r="E179">
        <v>244</v>
      </c>
      <c r="F179">
        <v>244</v>
      </c>
    </row>
    <row r="180" spans="1:6" x14ac:dyDescent="0.25">
      <c r="A180" t="s">
        <v>65</v>
      </c>
      <c r="B180" t="s">
        <v>10</v>
      </c>
      <c r="C180" t="s">
        <v>27</v>
      </c>
      <c r="D180">
        <v>6</v>
      </c>
      <c r="E180">
        <v>127</v>
      </c>
      <c r="F180">
        <v>762</v>
      </c>
    </row>
    <row r="181" spans="1:6" x14ac:dyDescent="0.25">
      <c r="A181" t="s">
        <v>162</v>
      </c>
      <c r="B181" t="s">
        <v>10</v>
      </c>
      <c r="C181" t="s">
        <v>11</v>
      </c>
      <c r="D181">
        <v>10</v>
      </c>
      <c r="E181">
        <v>264</v>
      </c>
      <c r="F181">
        <v>2640</v>
      </c>
    </row>
    <row r="182" spans="1:6" x14ac:dyDescent="0.25">
      <c r="A182" t="s">
        <v>163</v>
      </c>
      <c r="B182" t="s">
        <v>13</v>
      </c>
      <c r="C182" t="s">
        <v>15</v>
      </c>
      <c r="D182">
        <v>6</v>
      </c>
      <c r="E182">
        <v>223</v>
      </c>
      <c r="F182">
        <v>1338</v>
      </c>
    </row>
    <row r="183" spans="1:6" x14ac:dyDescent="0.25">
      <c r="A183" t="s">
        <v>91</v>
      </c>
      <c r="B183" t="s">
        <v>10</v>
      </c>
      <c r="C183" t="s">
        <v>27</v>
      </c>
      <c r="D183">
        <v>6</v>
      </c>
      <c r="E183">
        <v>150</v>
      </c>
      <c r="F183">
        <v>900</v>
      </c>
    </row>
    <row r="184" spans="1:6" x14ac:dyDescent="0.25">
      <c r="A184" t="s">
        <v>131</v>
      </c>
      <c r="B184" t="s">
        <v>13</v>
      </c>
      <c r="C184" t="s">
        <v>15</v>
      </c>
      <c r="D184">
        <v>1</v>
      </c>
      <c r="E184">
        <v>440</v>
      </c>
      <c r="F184">
        <v>440</v>
      </c>
    </row>
    <row r="185" spans="1:6" x14ac:dyDescent="0.25">
      <c r="A185" t="s">
        <v>164</v>
      </c>
      <c r="B185" t="s">
        <v>7</v>
      </c>
      <c r="C185" t="s">
        <v>15</v>
      </c>
      <c r="D185">
        <v>5</v>
      </c>
      <c r="E185">
        <v>187</v>
      </c>
      <c r="F185">
        <v>935</v>
      </c>
    </row>
    <row r="186" spans="1:6" x14ac:dyDescent="0.25">
      <c r="A186" t="s">
        <v>154</v>
      </c>
      <c r="B186" t="s">
        <v>19</v>
      </c>
      <c r="C186" t="s">
        <v>8</v>
      </c>
      <c r="D186">
        <v>5</v>
      </c>
      <c r="E186">
        <v>62</v>
      </c>
      <c r="F186">
        <v>310</v>
      </c>
    </row>
    <row r="187" spans="1:6" x14ac:dyDescent="0.25">
      <c r="A187" t="s">
        <v>165</v>
      </c>
      <c r="B187" t="s">
        <v>19</v>
      </c>
      <c r="C187" t="s">
        <v>8</v>
      </c>
      <c r="D187">
        <v>5</v>
      </c>
      <c r="E187">
        <v>465</v>
      </c>
      <c r="F187">
        <v>2325</v>
      </c>
    </row>
    <row r="188" spans="1:6" x14ac:dyDescent="0.25">
      <c r="A188" t="s">
        <v>166</v>
      </c>
      <c r="B188" t="s">
        <v>7</v>
      </c>
      <c r="C188" t="s">
        <v>27</v>
      </c>
      <c r="D188">
        <v>4</v>
      </c>
      <c r="E188">
        <v>384</v>
      </c>
      <c r="F188">
        <v>1536</v>
      </c>
    </row>
    <row r="189" spans="1:6" x14ac:dyDescent="0.25">
      <c r="A189" t="s">
        <v>60</v>
      </c>
      <c r="B189" t="s">
        <v>7</v>
      </c>
      <c r="C189" t="s">
        <v>27</v>
      </c>
      <c r="D189">
        <v>1</v>
      </c>
      <c r="E189">
        <v>358</v>
      </c>
      <c r="F189">
        <v>358</v>
      </c>
    </row>
    <row r="190" spans="1:6" x14ac:dyDescent="0.25">
      <c r="A190" t="s">
        <v>84</v>
      </c>
      <c r="B190" t="s">
        <v>7</v>
      </c>
      <c r="C190" t="s">
        <v>8</v>
      </c>
      <c r="D190">
        <v>6</v>
      </c>
      <c r="E190">
        <v>154</v>
      </c>
      <c r="F190">
        <v>924</v>
      </c>
    </row>
    <row r="191" spans="1:6" x14ac:dyDescent="0.25">
      <c r="A191" t="s">
        <v>167</v>
      </c>
      <c r="B191" t="s">
        <v>7</v>
      </c>
      <c r="C191" t="s">
        <v>15</v>
      </c>
      <c r="D191">
        <v>1</v>
      </c>
      <c r="E191">
        <v>294</v>
      </c>
      <c r="F191">
        <v>294</v>
      </c>
    </row>
    <row r="192" spans="1:6" x14ac:dyDescent="0.25">
      <c r="A192" t="s">
        <v>168</v>
      </c>
      <c r="B192" t="s">
        <v>10</v>
      </c>
      <c r="C192" t="s">
        <v>15</v>
      </c>
      <c r="D192">
        <v>3</v>
      </c>
      <c r="E192">
        <v>279</v>
      </c>
      <c r="F192">
        <v>837</v>
      </c>
    </row>
    <row r="193" spans="1:6" x14ac:dyDescent="0.25">
      <c r="A193" t="s">
        <v>169</v>
      </c>
      <c r="B193" t="s">
        <v>13</v>
      </c>
      <c r="C193" t="s">
        <v>27</v>
      </c>
      <c r="D193">
        <v>2</v>
      </c>
      <c r="E193">
        <v>85</v>
      </c>
      <c r="F193">
        <v>170</v>
      </c>
    </row>
    <row r="194" spans="1:6" x14ac:dyDescent="0.25">
      <c r="A194" t="s">
        <v>57</v>
      </c>
      <c r="B194" t="s">
        <v>7</v>
      </c>
      <c r="C194" t="s">
        <v>8</v>
      </c>
      <c r="D194">
        <v>1</v>
      </c>
      <c r="E194">
        <v>327</v>
      </c>
      <c r="F194">
        <v>327</v>
      </c>
    </row>
    <row r="195" spans="1:6" x14ac:dyDescent="0.25">
      <c r="A195" t="s">
        <v>170</v>
      </c>
      <c r="B195" t="s">
        <v>10</v>
      </c>
      <c r="C195" t="s">
        <v>11</v>
      </c>
      <c r="D195">
        <v>4</v>
      </c>
      <c r="E195">
        <v>398</v>
      </c>
      <c r="F195">
        <v>1592</v>
      </c>
    </row>
    <row r="196" spans="1:6" x14ac:dyDescent="0.25">
      <c r="A196" t="s">
        <v>117</v>
      </c>
      <c r="B196" t="s">
        <v>13</v>
      </c>
      <c r="C196" t="s">
        <v>11</v>
      </c>
      <c r="D196">
        <v>4</v>
      </c>
      <c r="E196">
        <v>437</v>
      </c>
      <c r="F196">
        <v>1748</v>
      </c>
    </row>
    <row r="197" spans="1:6" x14ac:dyDescent="0.25">
      <c r="A197" t="s">
        <v>171</v>
      </c>
      <c r="B197" t="s">
        <v>13</v>
      </c>
      <c r="C197" t="s">
        <v>15</v>
      </c>
      <c r="D197">
        <v>8</v>
      </c>
      <c r="E197">
        <v>235</v>
      </c>
      <c r="F197">
        <v>1880</v>
      </c>
    </row>
    <row r="198" spans="1:6" x14ac:dyDescent="0.25">
      <c r="A198" t="s">
        <v>153</v>
      </c>
      <c r="B198" t="s">
        <v>7</v>
      </c>
      <c r="C198" t="s">
        <v>11</v>
      </c>
      <c r="D198">
        <v>6</v>
      </c>
      <c r="E198">
        <v>303</v>
      </c>
      <c r="F198">
        <v>1818</v>
      </c>
    </row>
    <row r="199" spans="1:6" x14ac:dyDescent="0.25">
      <c r="A199" t="s">
        <v>172</v>
      </c>
      <c r="B199" t="s">
        <v>10</v>
      </c>
      <c r="C199" t="s">
        <v>8</v>
      </c>
      <c r="D199">
        <v>1</v>
      </c>
      <c r="E199">
        <v>300</v>
      </c>
      <c r="F199">
        <v>300</v>
      </c>
    </row>
    <row r="200" spans="1:6" x14ac:dyDescent="0.25">
      <c r="A200" t="s">
        <v>90</v>
      </c>
      <c r="B200" t="s">
        <v>10</v>
      </c>
      <c r="C200" t="s">
        <v>8</v>
      </c>
      <c r="D200">
        <v>7</v>
      </c>
      <c r="E200">
        <v>147</v>
      </c>
      <c r="F200">
        <v>1029</v>
      </c>
    </row>
    <row r="201" spans="1:6" x14ac:dyDescent="0.25">
      <c r="A201" t="s">
        <v>90</v>
      </c>
      <c r="B201" t="s">
        <v>17</v>
      </c>
      <c r="C201" t="s">
        <v>27</v>
      </c>
      <c r="D201">
        <v>3</v>
      </c>
      <c r="E201">
        <v>160</v>
      </c>
      <c r="F201">
        <v>480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activeCell="G2" sqref="G2"/>
    </sheetView>
  </sheetViews>
  <sheetFormatPr defaultRowHeight="15" x14ac:dyDescent="0.25"/>
  <sheetData>
    <row r="1" spans="1:2" x14ac:dyDescent="0.25">
      <c r="A1" s="2" t="s">
        <v>173</v>
      </c>
      <c r="B1" s="2">
        <f>SUM(Cleaned_Data!F:F)</f>
        <v>276845</v>
      </c>
    </row>
    <row r="2" spans="1:2" x14ac:dyDescent="0.25">
      <c r="A2" t="s">
        <v>174</v>
      </c>
      <c r="B2">
        <f>SUM(Cleaned_Data!D:D)</f>
        <v>1049</v>
      </c>
    </row>
    <row r="3" spans="1:2" x14ac:dyDescent="0.25">
      <c r="A3" t="s">
        <v>175</v>
      </c>
      <c r="B3">
        <f>AVERAGE(Cleaned_Data!F:F)</f>
        <v>1384.2249999999999</v>
      </c>
    </row>
    <row r="6" spans="1:2" x14ac:dyDescent="0.25">
      <c r="A6" s="2" t="s">
        <v>2</v>
      </c>
      <c r="B6" s="2" t="s">
        <v>176</v>
      </c>
    </row>
    <row r="7" spans="1:2" x14ac:dyDescent="0.25">
      <c r="A7" t="s">
        <v>27</v>
      </c>
      <c r="B7">
        <f>SUMIF(Cleaned_Data!C:C,"Accra",Cleaned_Data!F:F)</f>
        <v>70306</v>
      </c>
    </row>
    <row r="8" spans="1:2" x14ac:dyDescent="0.25">
      <c r="A8" t="s">
        <v>15</v>
      </c>
      <c r="B8">
        <f>SUMIF(Cleaned_Data!C:C,"Kumasi",Cleaned_Data!F:F)</f>
        <v>68788</v>
      </c>
    </row>
    <row r="9" spans="1:2" x14ac:dyDescent="0.25">
      <c r="A9" t="s">
        <v>8</v>
      </c>
      <c r="B9">
        <f>SUMIF(Cleaned_Data!C:C,"Tamale",Cleaned_Data!F:F)</f>
        <v>53287</v>
      </c>
    </row>
    <row r="10" spans="1:2" x14ac:dyDescent="0.25">
      <c r="A10" t="s">
        <v>11</v>
      </c>
      <c r="B10">
        <f>SUMIF(Cleaned_Data!C:C,"Takoradi",Cleaned_Data!F:F)</f>
        <v>84464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H1"/>
  <sheetViews>
    <sheetView workbookViewId="0">
      <selection activeCell="H4" sqref="H4"/>
    </sheetView>
  </sheetViews>
  <sheetFormatPr defaultRowHeight="15" x14ac:dyDescent="0.25"/>
  <cols>
    <col min="8" max="8" width="27.5703125" customWidth="1"/>
  </cols>
  <sheetData>
    <row r="1" spans="8:8" ht="26.25" x14ac:dyDescent="0.4">
      <c r="H1" s="1" t="s">
        <v>177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Cleaned_Data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fuad Adams</cp:lastModifiedBy>
  <dcterms:created xsi:type="dcterms:W3CDTF">2026-05-03T16:15:47Z</dcterms:created>
  <dcterms:modified xsi:type="dcterms:W3CDTF">2026-08-16T13:56:52Z</dcterms:modified>
</cp:coreProperties>
</file>